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ЭтаКнига"/>
  <bookViews>
    <workbookView xWindow="396" yWindow="1032" windowWidth="15636" windowHeight="11028" tabRatio="213"/>
  </bookViews>
  <sheets>
    <sheet name="Расчет глушение" sheetId="11" r:id="rId1"/>
    <sheet name="data" sheetId="9" r:id="rId2"/>
    <sheet name="SheetForAttachedFiles" sheetId="13" state="veryHidden" r:id="rId3"/>
    <sheet name="Лист1" sheetId="14" r:id="rId4"/>
  </sheets>
  <definedNames>
    <definedName name="__glushenie__" localSheetId="1">data!$A$1:$AE$138</definedName>
    <definedName name="__main__">#REF!</definedName>
    <definedName name="__qryKolon__">#REF!</definedName>
    <definedName name="__qryKonductor__">#REF!</definedName>
    <definedName name="__qryNKT__">#REF!</definedName>
    <definedName name="__qryOpenPerf__">#REF!</definedName>
    <definedName name="__qryStahn__" localSheetId="1">#REF!</definedName>
    <definedName name="__qryStahn__">#REF!</definedName>
    <definedName name="__qryTail__" localSheetId="1">#REF!</definedName>
    <definedName name="__qryTail__">#REF!</definedName>
    <definedName name="_xlnm._FilterDatabase" localSheetId="1" hidden="1">data!$D$15:$V$15</definedName>
    <definedName name="BHK">'Расчет глушение'!$G$12</definedName>
    <definedName name="Crd_09.97" hidden="1">{#N/A,#N/A,FALSE,"ZAP_FEB.XLS "}</definedName>
    <definedName name="DDINN" hidden="1">{#N/A,#N/A,FALSE,"ZAP_FEB.XLS "}</definedName>
    <definedName name="Ddinnic_97" hidden="1">{#N/A,#N/A,FALSE,"ZAP_FEB.XLS "}</definedName>
    <definedName name="dinldc" hidden="1">{#N/A,#N/A,FALSE,"ZAP_FEB.XLS "}</definedName>
    <definedName name="dв" localSheetId="1">'Расчет глушение'!$F$27</definedName>
    <definedName name="dв" localSheetId="0">'Расчет глушение'!$F$27</definedName>
    <definedName name="dв3">'Расчет глушение'!$E$27</definedName>
    <definedName name="dвн" localSheetId="1">'Расчет глушение'!$G$27</definedName>
    <definedName name="dвн" localSheetId="0">'Расчет глушение'!$G$27</definedName>
    <definedName name="dн" localSheetId="1">'Расчет глушение'!$F$26</definedName>
    <definedName name="dн" localSheetId="0">'Расчет глушение'!$F$26</definedName>
    <definedName name="dн3">'Расчет глушение'!$E$26</definedName>
    <definedName name="dнар" localSheetId="1">'Расчет глушение'!$G$26</definedName>
    <definedName name="dнар" localSheetId="0">'Расчет глушение'!$G$26</definedName>
    <definedName name="Fond_97" hidden="1">{#N/A,#N/A,FALSE,"ZAP_FEB.XLS "}</definedName>
    <definedName name="Fond_97_2" hidden="1">{#N/A,#N/A,FALSE,"ZAP_FEB.XLS "}</definedName>
    <definedName name="GHF" hidden="1">{#N/A,#N/A,FALSE,"ZAP_FEB.XLS "}</definedName>
    <definedName name="pж" localSheetId="1">data!$AJ$54</definedName>
    <definedName name="qqw" localSheetId="1">'Расчет глушение'!$G$10</definedName>
    <definedName name="qqw" localSheetId="0">'Расчет глушение'!$G$10</definedName>
    <definedName name="rai" hidden="1">{#N/A,#N/A,FALSE,"ZAP_FEB.XLS "}</definedName>
    <definedName name="S_dн">'Расчет глушение'!$G$52</definedName>
    <definedName name="S_dн3">'Расчет глушение'!$G$53</definedName>
    <definedName name="S_dнар">'Расчет глушение'!$G$51</definedName>
    <definedName name="S_ЭКв1">'Расчет глушение'!$G$48</definedName>
    <definedName name="S_ЭКв2">'Расчет глушение'!$G$49</definedName>
    <definedName name="sdfsdf">'Расчет глушение'!$G$13</definedName>
    <definedName name="SG" localSheetId="1">'Расчет глушение'!$V$29</definedName>
    <definedName name="VYзадан" localSheetId="1">data!$AB$63</definedName>
    <definedName name="VYзадан" localSheetId="0">data!$AB$63</definedName>
    <definedName name="Vгл" localSheetId="1">'Расчет глушение'!$V$21</definedName>
    <definedName name="Vгл" localSheetId="0">'Расчет глушение'!$V$21</definedName>
    <definedName name="vжг" localSheetId="1">'Расчет глушение'!#REF!</definedName>
    <definedName name="Vзатр" localSheetId="1">'Расчет глушение'!$V$19</definedName>
    <definedName name="Vзатр" localSheetId="0">'Расчет глушение'!$V$19</definedName>
    <definedName name="Vзум" localSheetId="1">'Расчет глушение'!$V$20</definedName>
    <definedName name="Vзум" localSheetId="0">'Расчет глушение'!$V$20</definedName>
    <definedName name="Vнкт" localSheetId="1">'Расчет глушение'!$V$17</definedName>
    <definedName name="Vнкт" localSheetId="0">'Расчет глушение'!$V$17</definedName>
    <definedName name="Vобщ" localSheetId="1">'Расчет глушение'!$V$23</definedName>
    <definedName name="Vшт">'Расчет глушение'!$V$18</definedName>
    <definedName name="Vэк" localSheetId="1">'Расчет глушение'!$V$16</definedName>
    <definedName name="Vэк" localSheetId="0">'Расчет глушение'!$V$16</definedName>
    <definedName name="wrn.Crdonec._.cr._.oladreu._.1995._.aiar." hidden="1">{#N/A,#N/A,FALSE,"ZAP_FEB.XLS "}</definedName>
    <definedName name="Yзадан" localSheetId="1">data!$AB$62</definedName>
    <definedName name="Yзадан" localSheetId="0">data!$AB$62</definedName>
    <definedName name="бд" hidden="1">{#N/A,#N/A,FALSE,"ZAP_FEB.XLS "}</definedName>
    <definedName name="ВНК" localSheetId="1">'Расчет глушение'!$G$13</definedName>
    <definedName name="ВНК" localSheetId="0">'Расчет глушение'!$G$13</definedName>
    <definedName name="ВЦ" localSheetId="1">'Расчет глушение'!$T$8</definedName>
    <definedName name="ВЦ" localSheetId="0">'Расчет глушение'!$T$8</definedName>
    <definedName name="выа">'Расчет глушение'!$G$13</definedName>
    <definedName name="Запас" localSheetId="1">'Расчет глушение'!$V$28</definedName>
    <definedName name="Запас" localSheetId="0">'Расчет глушение'!$V$28</definedName>
    <definedName name="зВЦ" localSheetId="1">'Расчет глушение'!$V$8</definedName>
    <definedName name="ЗЖ" localSheetId="1">'Расчет глушение'!$V$22</definedName>
    <definedName name="ЗЖ" localSheetId="0">'Расчет глушение'!$V$22</definedName>
    <definedName name="зПЦ" localSheetId="1">'Расчет глушение'!$V$7</definedName>
    <definedName name="консервация" hidden="1">{#N/A,#N/A,FALSE,"ZAP_FEB.XLS "}</definedName>
    <definedName name="КЦ" localSheetId="1">'Расчет глушение'!$V$30</definedName>
    <definedName name="КЦ" localSheetId="0">'Расчет глушение'!$V$30</definedName>
    <definedName name="КЦ_обр_цикл">data!$AC$66</definedName>
    <definedName name="Кц_обр_цирк" localSheetId="1">data!$AC$67</definedName>
    <definedName name="КЦзадан" localSheetId="1">data!$AC$59</definedName>
    <definedName name="КЦзадан" localSheetId="0">data!$AC$59</definedName>
    <definedName name="Нгол">'Расчет глушение'!$G$21</definedName>
    <definedName name="Нгэк2">'Расчет глушение'!$G$21</definedName>
    <definedName name="Ни" localSheetId="1">'Расчет глушение'!$G$10</definedName>
    <definedName name="Ни" localSheetId="0">'Расчет глушение'!$G$10</definedName>
    <definedName name="НКТ1" localSheetId="1">'Расчет глушение'!$G$28</definedName>
    <definedName name="НКТ1" localSheetId="0">'Расчет глушение'!$G$28</definedName>
    <definedName name="НКТ2" localSheetId="1">'Расчет глушение'!$F$28</definedName>
    <definedName name="НКТ2" localSheetId="0">'Расчет глушение'!$F$28</definedName>
    <definedName name="НКТ3">'Расчет глушение'!$E$28</definedName>
    <definedName name="Нсп" localSheetId="1">'Расчет глушение'!$V$15</definedName>
    <definedName name="Нсп" localSheetId="0">'Расчет глушение'!$V$15</definedName>
    <definedName name="Нт" localSheetId="1">'Расчет глушение'!$G$11</definedName>
    <definedName name="Нт" localSheetId="0">'Расчет глушение'!$G$11</definedName>
    <definedName name="Нэк2">data!#REF!</definedName>
    <definedName name="_xlnm.Print_Area" localSheetId="1">data!$A$1:$AD$136</definedName>
    <definedName name="оКЦ" localSheetId="1">'Расчет глушение'!$G$55</definedName>
    <definedName name="оКЦ" localSheetId="0">'Расчет глушение'!$G$55</definedName>
    <definedName name="плж">'Расчет глушение'!#REF!</definedName>
    <definedName name="пПЦ" localSheetId="1">'Расчет глушение'!$W$7</definedName>
    <definedName name="пПЦ_обр_цирк" localSheetId="1">data!$AC$70</definedName>
    <definedName name="пр" hidden="1">{#N/A,#N/A,FALSE,"ZAP_FEB.XLS "}</definedName>
    <definedName name="ПЦ" localSheetId="1">'Расчет глушение'!$T$7</definedName>
    <definedName name="ПЦ" localSheetId="0">'Расчет глушение'!$T$7</definedName>
    <definedName name="ПЦ_обр">data!$AC$67</definedName>
    <definedName name="ПЦ_обр_цирк" localSheetId="1">data!$AC$69</definedName>
    <definedName name="расход" localSheetId="1">'Расчет глушение'!$G$40</definedName>
    <definedName name="расход" localSheetId="0">'Расчет глушение'!$G$40</definedName>
    <definedName name="Рпл" localSheetId="1">'Расчет глушение'!$G$14</definedName>
    <definedName name="Рпл" localSheetId="0">'Расчет глушение'!$G$14</definedName>
    <definedName name="ТЦ" localSheetId="1">'Расчет глушение'!$T$9</definedName>
    <definedName name="ТЦ" localSheetId="0">'Расчет глушение'!$T$9</definedName>
    <definedName name="уВЦ" localSheetId="1">data!#REF!</definedName>
    <definedName name="уПЦ" localSheetId="1">data!#REF!</definedName>
    <definedName name="ЧЦ" localSheetId="1">'Расчет глушение'!$T$10</definedName>
    <definedName name="ЧЦ" localSheetId="0">'Расчет глушение'!$T$10</definedName>
    <definedName name="ЭК" localSheetId="1">'Расчет глушение'!$O$3</definedName>
    <definedName name="ЭКв1">'Расчет глушение'!$G$18</definedName>
    <definedName name="ЭКв2">'Расчет глушение'!$G$20</definedName>
    <definedName name="ЭКн1">data!#REF!</definedName>
    <definedName name="ЭКн2">'Расчет глушение'!$G$19</definedName>
  </definedNames>
  <calcPr calcId="144525"/>
</workbook>
</file>

<file path=xl/calcChain.xml><?xml version="1.0" encoding="utf-8"?>
<calcChain xmlns="http://schemas.openxmlformats.org/spreadsheetml/2006/main">
  <c r="AE10" i="11" l="1"/>
  <c r="V23" i="11"/>
  <c r="V28" i="11"/>
  <c r="V29" i="11" s="1"/>
  <c r="AE11" i="11" s="1"/>
  <c r="V27" i="11"/>
  <c r="V15" i="11"/>
  <c r="V16" i="11"/>
  <c r="V17" i="11"/>
  <c r="V18" i="11"/>
  <c r="AE6" i="11" l="1"/>
  <c r="AE7" i="11"/>
  <c r="AC18" i="11"/>
  <c r="AC19" i="11"/>
  <c r="W33" i="11" l="1"/>
  <c r="V32" i="11"/>
  <c r="V31" i="11"/>
  <c r="V34" i="11" s="1"/>
  <c r="V33" i="11"/>
  <c r="AC20" i="11"/>
  <c r="AC21" i="11" s="1"/>
  <c r="W36" i="11" l="1"/>
  <c r="AS2" i="11"/>
  <c r="V35" i="11"/>
  <c r="AE9" i="11" s="1"/>
  <c r="V36" i="11"/>
  <c r="AE8" i="11" s="1"/>
  <c r="C23" i="14"/>
  <c r="G25" i="14"/>
  <c r="G24" i="14"/>
  <c r="G23" i="14"/>
  <c r="G17" i="14"/>
  <c r="C17" i="14"/>
  <c r="C25" i="14"/>
  <c r="C24" i="14"/>
  <c r="G21" i="14"/>
  <c r="O5" i="11"/>
  <c r="G19" i="14"/>
  <c r="G18" i="14"/>
  <c r="C19" i="14"/>
  <c r="C18" i="14"/>
  <c r="V6" i="11"/>
  <c r="AQ5" i="11" l="1"/>
  <c r="AL5" i="11" s="1"/>
  <c r="AS11" i="11"/>
  <c r="AN11" i="11" s="1"/>
  <c r="AQ25" i="11"/>
  <c r="AL25" i="11" s="1"/>
  <c r="AS32" i="11"/>
  <c r="AN32" i="11" s="1"/>
  <c r="AR11" i="11"/>
  <c r="AM11" i="11" s="1"/>
  <c r="AR5" i="11"/>
  <c r="AM5" i="11" s="1"/>
  <c r="AR7" i="11"/>
  <c r="AM7" i="11" s="1"/>
  <c r="AR29" i="11"/>
  <c r="AM29" i="11" s="1"/>
  <c r="AQ13" i="11"/>
  <c r="AL13" i="11" s="1"/>
  <c r="AS27" i="11"/>
  <c r="AN27" i="11" s="1"/>
  <c r="AS24" i="11"/>
  <c r="AN24" i="11" s="1"/>
  <c r="AQ19" i="11"/>
  <c r="AL19" i="11" s="1"/>
  <c r="AS20" i="11"/>
  <c r="AN20" i="11" s="1"/>
  <c r="AR17" i="11"/>
  <c r="AM17" i="11" s="1"/>
  <c r="AR26" i="11"/>
  <c r="AM26" i="11" s="1"/>
  <c r="AQ23" i="11"/>
  <c r="AL23" i="11" s="1"/>
  <c r="AS12" i="11"/>
  <c r="AN12" i="11" s="1"/>
  <c r="AQ7" i="11"/>
  <c r="AL7" i="11" s="1"/>
  <c r="AS8" i="11"/>
  <c r="AN8" i="11" s="1"/>
  <c r="AS30" i="11"/>
  <c r="AN30" i="11" s="1"/>
  <c r="AQ26" i="11"/>
  <c r="AL26" i="11" s="1"/>
  <c r="AR14" i="11"/>
  <c r="AM14" i="11" s="1"/>
  <c r="AQ11" i="11"/>
  <c r="AL11" i="11" s="1"/>
  <c r="AQ32" i="11"/>
  <c r="AL32" i="11" s="1"/>
  <c r="AR20" i="11"/>
  <c r="AM20" i="11" s="1"/>
  <c r="AQ29" i="11"/>
  <c r="AL29" i="11" s="1"/>
  <c r="AS18" i="11"/>
  <c r="AN18" i="11" s="1"/>
  <c r="AQ20" i="11"/>
  <c r="AL20" i="11" s="1"/>
  <c r="AS21" i="11"/>
  <c r="AN21" i="11" s="1"/>
  <c r="AR25" i="11"/>
  <c r="AM25" i="11" s="1"/>
  <c r="AS19" i="11"/>
  <c r="AN19" i="11" s="1"/>
  <c r="AR13" i="11"/>
  <c r="AM13" i="11" s="1"/>
  <c r="AS29" i="11"/>
  <c r="AN29" i="11" s="1"/>
  <c r="AS22" i="11"/>
  <c r="AN22" i="11" s="1"/>
  <c r="AS17" i="11"/>
  <c r="AN17" i="11" s="1"/>
  <c r="AR31" i="11"/>
  <c r="AM31" i="11" s="1"/>
  <c r="AQ33" i="11"/>
  <c r="AL33" i="11" s="1"/>
  <c r="AR30" i="11"/>
  <c r="AM30" i="11" s="1"/>
  <c r="AQ27" i="11"/>
  <c r="AL27" i="11" s="1"/>
  <c r="AQ24" i="11"/>
  <c r="AL24" i="11" s="1"/>
  <c r="AS25" i="11"/>
  <c r="AN25" i="11" s="1"/>
  <c r="AS9" i="11"/>
  <c r="AN9" i="11" s="1"/>
  <c r="AQ15" i="11"/>
  <c r="AL15" i="11" s="1"/>
  <c r="AQ9" i="11"/>
  <c r="AL9" i="11" s="1"/>
  <c r="AS13" i="11"/>
  <c r="AN13" i="11" s="1"/>
  <c r="AR6" i="11"/>
  <c r="AM6" i="11" s="1"/>
  <c r="AS33" i="11"/>
  <c r="AN33" i="11" s="1"/>
  <c r="AS10" i="11"/>
  <c r="AN10" i="11" s="1"/>
  <c r="AR22" i="11"/>
  <c r="AM22" i="11" s="1"/>
  <c r="AS7" i="11"/>
  <c r="AN7" i="11" s="1"/>
  <c r="AQ10" i="11"/>
  <c r="AL10" i="11" s="1"/>
  <c r="AS16" i="11"/>
  <c r="AN16" i="11" s="1"/>
  <c r="AR33" i="11"/>
  <c r="AM33" i="11" s="1"/>
  <c r="AS31" i="11"/>
  <c r="AN31" i="11" s="1"/>
  <c r="AS15" i="11"/>
  <c r="AN15" i="11" s="1"/>
  <c r="AR24" i="11"/>
  <c r="AM24" i="11" s="1"/>
  <c r="AS5" i="11"/>
  <c r="AN5" i="11" s="1"/>
  <c r="AR8" i="11"/>
  <c r="AM8" i="11" s="1"/>
  <c r="AQ17" i="11"/>
  <c r="AL17" i="11" s="1"/>
  <c r="AS6" i="11"/>
  <c r="AN6" i="11" s="1"/>
  <c r="AR32" i="11"/>
  <c r="AM32" i="11" s="1"/>
  <c r="AR16" i="11"/>
  <c r="AM16" i="11" s="1"/>
  <c r="AQ8" i="11"/>
  <c r="AL8" i="11" s="1"/>
  <c r="AS26" i="11"/>
  <c r="AN26" i="11" s="1"/>
  <c r="AS23" i="11"/>
  <c r="AN23" i="11" s="1"/>
  <c r="AQ16" i="11"/>
  <c r="AL16" i="11" s="1"/>
  <c r="AQ21" i="11"/>
  <c r="AL21" i="11" s="1"/>
  <c r="AQ14" i="11"/>
  <c r="AL14" i="11" s="1"/>
  <c r="AR21" i="11"/>
  <c r="AM21" i="11" s="1"/>
  <c r="AR18" i="11"/>
  <c r="AM18" i="11" s="1"/>
  <c r="AN2" i="11"/>
  <c r="AQ12" i="11"/>
  <c r="AL12" i="11" s="1"/>
  <c r="AR9" i="11"/>
  <c r="AM9" i="11" s="1"/>
  <c r="AQ31" i="11"/>
  <c r="AL31" i="11" s="1"/>
  <c r="AR28" i="11"/>
  <c r="AM28" i="11" s="1"/>
  <c r="AR27" i="11"/>
  <c r="AM27" i="11" s="1"/>
  <c r="AQ30" i="11"/>
  <c r="AL30" i="11" s="1"/>
  <c r="AR10" i="11"/>
  <c r="AM10" i="11" s="1"/>
  <c r="AQ18" i="11"/>
  <c r="AL18" i="11" s="1"/>
  <c r="AR15" i="11"/>
  <c r="AM15" i="11" s="1"/>
  <c r="AQ28" i="11"/>
  <c r="AL28" i="11" s="1"/>
  <c r="AR23" i="11"/>
  <c r="AM23" i="11" s="1"/>
  <c r="AR12" i="11"/>
  <c r="AM12" i="11" s="1"/>
  <c r="AS28" i="11"/>
  <c r="AN28" i="11" s="1"/>
  <c r="AR19" i="11"/>
  <c r="AM19" i="11" s="1"/>
  <c r="AQ22" i="11"/>
  <c r="AL22" i="11" s="1"/>
  <c r="AQ6" i="11"/>
  <c r="AL6" i="11" s="1"/>
  <c r="AS14" i="11"/>
  <c r="AN14" i="11" s="1"/>
  <c r="O3" i="11"/>
  <c r="AJ54" i="9"/>
  <c r="D85" i="9"/>
  <c r="C136" i="9"/>
  <c r="C104" i="9"/>
  <c r="C95" i="9" l="1"/>
  <c r="C112" i="9"/>
  <c r="C122" i="9"/>
  <c r="C102" i="9"/>
  <c r="O28" i="11" l="1"/>
  <c r="O33" i="11"/>
  <c r="O13" i="11"/>
  <c r="O4" i="11"/>
  <c r="G47" i="11" l="1"/>
  <c r="G48" i="11"/>
  <c r="G49" i="11"/>
  <c r="G51" i="11"/>
  <c r="G52" i="11"/>
  <c r="G53" i="11"/>
  <c r="AD99" i="9" l="1"/>
  <c r="V19" i="11"/>
  <c r="V20" i="11"/>
  <c r="V58" i="9"/>
  <c r="AJ41" i="9"/>
  <c r="U12" i="9"/>
  <c r="AJ50" i="9"/>
  <c r="AJ48" i="9"/>
  <c r="AA92" i="9"/>
  <c r="AA90" i="9"/>
  <c r="Z84" i="9"/>
  <c r="V21" i="11" l="1"/>
  <c r="V30" i="11"/>
  <c r="T8" i="11" s="1"/>
  <c r="V22" i="11"/>
  <c r="V59" i="9"/>
  <c r="T7" i="11" l="1"/>
  <c r="W7" i="11"/>
  <c r="T10" i="11"/>
  <c r="W9" i="11"/>
  <c r="W10" i="11"/>
  <c r="T9" i="11"/>
  <c r="W8" i="11"/>
  <c r="G55" i="11"/>
  <c r="G54" i="11"/>
  <c r="AJ52" i="9"/>
  <c r="AJ43" i="9"/>
  <c r="AJ51" i="9"/>
  <c r="AJ40" i="9"/>
  <c r="AJ42" i="9"/>
  <c r="AC66" i="9"/>
  <c r="AJ44" i="9"/>
  <c r="V7" i="11" l="1"/>
  <c r="V9" i="11"/>
  <c r="U9" i="11"/>
  <c r="V10" i="11"/>
  <c r="U10" i="11"/>
  <c r="AJ39" i="9"/>
  <c r="AB60" i="9" s="1"/>
  <c r="AB61" i="9" s="1"/>
  <c r="AC72" i="9"/>
  <c r="AC69" i="9"/>
  <c r="AA117" i="9" s="1"/>
  <c r="AJ49" i="9"/>
  <c r="AB63" i="9" s="1"/>
  <c r="AC67" i="9" s="1"/>
  <c r="X115" i="9" s="1"/>
  <c r="Y115" i="9" s="1"/>
  <c r="AG99" i="9" l="1"/>
  <c r="C99" i="9" s="1"/>
  <c r="V8" i="11"/>
  <c r="U8" i="11"/>
  <c r="AC75" i="9"/>
  <c r="AC70" i="9"/>
  <c r="AA120" i="9" s="1"/>
  <c r="X131" i="9" s="1"/>
  <c r="Y131" i="9" s="1"/>
  <c r="AC76" i="9"/>
  <c r="AC77" i="9" s="1"/>
  <c r="C117" i="9"/>
  <c r="X120" i="9"/>
  <c r="C120" i="9" s="1"/>
  <c r="AD19" i="11" l="1"/>
  <c r="AD18" i="11"/>
  <c r="AD20" i="11"/>
  <c r="AC71" i="9"/>
  <c r="AC68" i="9"/>
  <c r="AD21" i="11" l="1"/>
  <c r="AE20" i="11" s="1"/>
  <c r="AC73" i="9"/>
  <c r="AC74" i="9" s="1"/>
  <c r="AE18" i="11" l="1"/>
  <c r="AE19" i="11"/>
  <c r="AE21" i="11" l="1"/>
  <c r="AF19" i="11" s="1"/>
  <c r="AF18" i="11" l="1"/>
  <c r="AF20" i="11"/>
  <c r="AF21" i="11" l="1"/>
</calcChain>
</file>

<file path=xl/comments1.xml><?xml version="1.0" encoding="utf-8"?>
<comments xmlns="http://schemas.openxmlformats.org/spreadsheetml/2006/main">
  <authors>
    <author>Microsoft</author>
  </authors>
  <commentList>
    <comment ref="V30" authorId="0">
      <text>
        <r>
          <rPr>
            <sz val="9"/>
            <color indexed="81"/>
            <rFont val="Tahoma"/>
            <family val="2"/>
            <charset val="204"/>
          </rPr>
          <t xml:space="preserve">не нужно считать
</t>
        </r>
      </text>
    </comment>
    <comment ref="V34" authorId="0">
      <text>
        <r>
          <rPr>
            <b/>
            <sz val="9"/>
            <color indexed="81"/>
            <rFont val="Tahoma"/>
            <family val="2"/>
            <charset val="204"/>
          </rPr>
          <t>Если нужнаKCl написать руками "KCl" (пока не сделано)</t>
        </r>
      </text>
    </comment>
  </commentList>
</comments>
</file>

<file path=xl/sharedStrings.xml><?xml version="1.0" encoding="utf-8"?>
<sst xmlns="http://schemas.openxmlformats.org/spreadsheetml/2006/main" count="618" uniqueCount="477">
  <si>
    <t>%</t>
  </si>
  <si>
    <t>м</t>
  </si>
  <si>
    <t>Pad</t>
  </si>
  <si>
    <t>Rig</t>
  </si>
  <si>
    <t>м3</t>
  </si>
  <si>
    <t>Well</t>
  </si>
  <si>
    <t>Field</t>
  </si>
  <si>
    <t>атм</t>
  </si>
  <si>
    <t>час</t>
  </si>
  <si>
    <t>НГДУ</t>
  </si>
  <si>
    <t>мин.</t>
  </si>
  <si>
    <t>г/см3</t>
  </si>
  <si>
    <t>Kуст:</t>
  </si>
  <si>
    <t>Toolpusher</t>
  </si>
  <si>
    <t>1 цикл</t>
  </si>
  <si>
    <t>100 мм</t>
  </si>
  <si>
    <t>115 мм</t>
  </si>
  <si>
    <t>127 мм</t>
  </si>
  <si>
    <t>2 цикл</t>
  </si>
  <si>
    <t>3 цикл</t>
  </si>
  <si>
    <t>4 цикл</t>
  </si>
  <si>
    <t>Мастер:</t>
  </si>
  <si>
    <t xml:space="preserve"> часов.</t>
  </si>
  <si>
    <t>м3/мин.</t>
  </si>
  <si>
    <t>Бригада:</t>
  </si>
  <si>
    <t>I. Цикл.</t>
  </si>
  <si>
    <t>II. ЦИКЛ</t>
  </si>
  <si>
    <t>Скважина:</t>
  </si>
  <si>
    <t>Объем (м3)</t>
  </si>
  <si>
    <t>Проверить!</t>
  </si>
  <si>
    <t>Исполнитель</t>
  </si>
  <si>
    <t>Объем цикла</t>
  </si>
  <si>
    <t>"УТВЕРЖДАЮ"</t>
  </si>
  <si>
    <t>одним циклом</t>
  </si>
  <si>
    <t>Время закачки</t>
  </si>
  <si>
    <t>Дата глушения</t>
  </si>
  <si>
    <t>Месторождение:</t>
  </si>
  <si>
    <t>Тип ингибитора</t>
  </si>
  <si>
    <t>объем выше ЭЦН</t>
  </si>
  <si>
    <t>объем ниже ЭЦН</t>
  </si>
  <si>
    <t>Объем расчетный</t>
  </si>
  <si>
    <t>Серв. компания:</t>
  </si>
  <si>
    <t>уд вес выше ЭЦН</t>
  </si>
  <si>
    <t>уд вес заданный</t>
  </si>
  <si>
    <t>уд вес ниже ЭЦН</t>
  </si>
  <si>
    <t>уд.вес расчетный</t>
  </si>
  <si>
    <t>Количество циклов</t>
  </si>
  <si>
    <t>Необходимый объем</t>
  </si>
  <si>
    <t>Произв-сть насоса</t>
  </si>
  <si>
    <t>Объем экп. колонны</t>
  </si>
  <si>
    <t>объем одного цикла</t>
  </si>
  <si>
    <t>Время закачки (мин)</t>
  </si>
  <si>
    <t>Уд.вес для равновес</t>
  </si>
  <si>
    <t>уд вес скв жидкости</t>
  </si>
  <si>
    <t>Глубина спуска общая</t>
  </si>
  <si>
    <t>Глушение одним циклом</t>
  </si>
  <si>
    <t>Эксплуатационная колонна</t>
  </si>
  <si>
    <t xml:space="preserve">Расчетный объем глушения </t>
  </si>
  <si>
    <t>м Вертикальная глуб.перф.</t>
  </si>
  <si>
    <t>Вспом.окно расчета глушения</t>
  </si>
  <si>
    <t>Запас по давлению при глушении</t>
  </si>
  <si>
    <t xml:space="preserve">        Начальник участка ЦПРС</t>
  </si>
  <si>
    <t xml:space="preserve">Вспом окно при заданной плотности </t>
  </si>
  <si>
    <t>Общий объем глушения с учетом запаса</t>
  </si>
  <si>
    <t>Расчет пластового давления по буферному</t>
  </si>
  <si>
    <t>План проведения работ по глушению скважины</t>
  </si>
  <si>
    <t>3. Установить лубрикатор со сбивным ломом на тройник буферной задвижки.</t>
  </si>
  <si>
    <t>атм Пластовое давление</t>
  </si>
  <si>
    <t>Заданный уд.вес*</t>
  </si>
  <si>
    <t>* должен быть больше, либо равен уд.весу для равновесия</t>
  </si>
  <si>
    <t>Диаметр поршня</t>
  </si>
  <si>
    <t>Число двойных ходов в минуту</t>
  </si>
  <si>
    <t>Наименование раствора глушения</t>
  </si>
  <si>
    <t>1. Жидкость глушения</t>
  </si>
  <si>
    <t>Плотность скваж.жидкости</t>
  </si>
  <si>
    <t>Теорет.плотность жидк.глуш.</t>
  </si>
  <si>
    <t>Безопас.плотность жидк.глуш.</t>
  </si>
  <si>
    <t>объем расчетный</t>
  </si>
  <si>
    <t>Буферное давление</t>
  </si>
  <si>
    <t>Обводненность</t>
  </si>
  <si>
    <t>Пластовое давл.</t>
  </si>
  <si>
    <t xml:space="preserve">Заданная пл. жидкости или пл. нефти </t>
  </si>
  <si>
    <t>Площадь:</t>
  </si>
  <si>
    <t>Штанги</t>
  </si>
  <si>
    <t>Объем штанг</t>
  </si>
  <si>
    <t>Внутренний объем НКТ с учетом штанг</t>
  </si>
  <si>
    <t>Объемы раствора для глушения   в НКТ</t>
  </si>
  <si>
    <t>КЦ_обр_цикл</t>
  </si>
  <si>
    <t>Vпервого цикла</t>
  </si>
  <si>
    <t>Vвторого цикла</t>
  </si>
  <si>
    <t>Vтретьего цикла</t>
  </si>
  <si>
    <t>Время  перемешения</t>
  </si>
  <si>
    <t>Время перемещения</t>
  </si>
  <si>
    <t>Vчетвертого цикла</t>
  </si>
  <si>
    <t>Объем колонны в интервале низ НКТ-забой</t>
  </si>
  <si>
    <t>Объем затрубья в интерв. устье-низ НКТ</t>
  </si>
  <si>
    <t>Глушение в затруб</t>
  </si>
  <si>
    <t xml:space="preserve">Время закачки </t>
  </si>
  <si>
    <t>мин</t>
  </si>
  <si>
    <t>Заполнить!</t>
  </si>
  <si>
    <t>При закачке в затруб поставить "+"</t>
  </si>
  <si>
    <t>-</t>
  </si>
  <si>
    <t>Грачевское</t>
  </si>
  <si>
    <t>инг.коррозии</t>
  </si>
  <si>
    <t>Параметры скважины</t>
  </si>
  <si>
    <t>Месторождение</t>
  </si>
  <si>
    <t>Площадь</t>
  </si>
  <si>
    <t>Скважина</t>
  </si>
  <si>
    <t>Искусственный забой, м</t>
  </si>
  <si>
    <t>Текущий забой, м</t>
  </si>
  <si>
    <t>Расстояние до пласта по вертикали, м</t>
  </si>
  <si>
    <t>Пластовое давление, атм</t>
  </si>
  <si>
    <t>Наружний диаметр, мм</t>
  </si>
  <si>
    <t>Голова, мм</t>
  </si>
  <si>
    <t>Внутренний диаметр, мм</t>
  </si>
  <si>
    <t>Длина, м</t>
  </si>
  <si>
    <t>Хвостовик</t>
  </si>
  <si>
    <t>Общие данные</t>
  </si>
  <si>
    <t>НКТ</t>
  </si>
  <si>
    <t>Верхняя ступень</t>
  </si>
  <si>
    <t>Нижняя ступ</t>
  </si>
  <si>
    <t>D=25 мм, длина в метрах</t>
  </si>
  <si>
    <t>D=22 мм, длина в метрах</t>
  </si>
  <si>
    <t>D=19 мм, длина в метрах</t>
  </si>
  <si>
    <t>Вторая ступень, внутренний диаметр, мм</t>
  </si>
  <si>
    <t>Запас жидкости - 10% от расчетного объема глушения</t>
  </si>
  <si>
    <t>Результаты расчета объемов</t>
  </si>
  <si>
    <t>Объем экс. колонны, м3</t>
  </si>
  <si>
    <t>Усредн.вн.диаметр, мм</t>
  </si>
  <si>
    <t>Общий объем, м3</t>
  </si>
  <si>
    <t>Насос (воронка), м</t>
  </si>
  <si>
    <t>Искусств.забой, м</t>
  </si>
  <si>
    <t>№ стадии</t>
  </si>
  <si>
    <t>Скорость закачки, м3/мин</t>
  </si>
  <si>
    <t xml:space="preserve">Объем, м3 </t>
  </si>
  <si>
    <t>Время закачки, мин</t>
  </si>
  <si>
    <t>Время перемешения, час</t>
  </si>
  <si>
    <t>Дизайн глушения</t>
  </si>
  <si>
    <t>Тип жидкости</t>
  </si>
  <si>
    <t>Буферная жидкость</t>
  </si>
  <si>
    <t>Блокирующий состав</t>
  </si>
  <si>
    <t>Результаты расчета удельного веса раствора</t>
  </si>
  <si>
    <t>Тех. жидкость с добавками</t>
  </si>
  <si>
    <t>Тех. жидкость</t>
  </si>
  <si>
    <t>Тех. жидкость для циркуляции</t>
  </si>
  <si>
    <t>Все требования охраны труда и Техники безопасности , Экологической безопасности, Противопожарной безопасности и Электробезопасности, определенные требованиями и стандартами Компании, а также требования, предъявляемые Техническими при КРС, должны выполняться в течение всего времени проведения работ.</t>
  </si>
  <si>
    <t xml:space="preserve"> г/см3 в объеме</t>
  </si>
  <si>
    <t xml:space="preserve"> атм.</t>
  </si>
  <si>
    <t>5.  Открыть трубную задвижку, по падению давления на манометре насосного агрегата убедиться в сбитии сливного кпапана, установленного на НКТ.</t>
  </si>
  <si>
    <t xml:space="preserve"> атм</t>
  </si>
  <si>
    <t>7. Перевести работу насосного агрегата "на себя" (на мерник).</t>
  </si>
  <si>
    <t>8. Отрегулировать подачу насосного агрегата до величины 226 л/мин (по числу двойных ходов поршня в минуту, в зависимости от диаметра поршня), согласно таблице:</t>
  </si>
  <si>
    <t>7. При закачке последнего цикла убедиться в появлении в затрубном пространстве жидкости глушения. При отсутствии переливов и выхода газа скважина считается заглушенной.</t>
  </si>
  <si>
    <r>
      <t>6. Повторить п.11, 1, 2, 3, 4, 5,</t>
    </r>
    <r>
      <rPr>
        <b/>
        <sz val="14"/>
        <color rgb="FF002060"/>
        <rFont val="Arial"/>
        <family val="2"/>
        <charset val="204"/>
      </rPr>
      <t xml:space="preserve"> согласно расчетам</t>
    </r>
    <r>
      <rPr>
        <sz val="12"/>
        <color rgb="FF002060"/>
        <rFont val="Arial"/>
        <family val="2"/>
        <charset val="204"/>
      </rPr>
      <t xml:space="preserve">, при количестве </t>
    </r>
    <r>
      <rPr>
        <b/>
        <sz val="12"/>
        <color rgb="FF002060"/>
        <rFont val="Arial"/>
        <family val="2"/>
        <charset val="204"/>
      </rPr>
      <t>циклов более чем два</t>
    </r>
    <r>
      <rPr>
        <sz val="12"/>
        <color rgb="FF002060"/>
        <rFont val="Arial"/>
        <family val="2"/>
        <charset val="204"/>
      </rPr>
      <t>.</t>
    </r>
  </si>
  <si>
    <t>Otch_plan.doc</t>
  </si>
  <si>
    <t>00000000000000000000000000000000000000000000000000000000000000000000000000000000000000000000000000000000000000000000000021041E0413041B04100421041E04120410041D041E043A0007000700070013043B04300432043D044B043904200038043D04360435043D043504400420002D0020001F043504400432044B0439042000370430043C043504410442043804420435043B044C0420003D043004470430043B044C043D0438043A04300420001D041304140423042000AB001804480438043C043104300439043D043504440442044C04BB0020000D001E041E041E042000AB001104300448043D043504440442044C042D0014043E0431044B0447043004BB0020000D005F005F005F005F005F005F005F005F005F005F005F005F005F005F005F005F005F005F005F005F0018042E0021042E002000210430044404380443043B043B0438043D040D00AB0020005F005F005F005F002000BB0020005F005F005F005F005F005F005F005F005F005F005F005F005F005F003200300031003500200033042E000D000D000D0013043B04300432043D044B0439042000330435043E043B043E04330420001D041304140423042000AB001804480438043C043104300439043D043504440442044C04BB0020000D001E041E041E042000AB001104300448043D04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</si>
  <si>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</si>
  <si>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2. Стравить давление в трубном и затрубном пространстве скважины, проверить исправность задвижек устьевой арматуры.</t>
  </si>
  <si>
    <t>9. Открыть затрубную и трубную задвижки,проверить наличие циркуляции в скважине, зафиксировать давление.</t>
  </si>
  <si>
    <t>2. Стравить давление в трубном и затрубном пространстве скважины, проверить исправность задвижек.</t>
  </si>
  <si>
    <t>, стравить давление.</t>
  </si>
  <si>
    <t>4. Отрегулировать подачу насосного агрегата до величины 226 л/мин (по числу двойных ходов поршня в минуту, в зависимости от диаметра поршня), согласно таблице:</t>
  </si>
  <si>
    <t>5. Закачать в трубное пространство при открытых трубной и затрубной задвижках, контролируя время закачки жидкость глушения, согласно таблице:</t>
  </si>
  <si>
    <t xml:space="preserve"> г/см3 в объеме </t>
  </si>
  <si>
    <t>D0CF11E0A1B11AE1000000000000000000000000000000003E000300FEFF0900060000000000000000000000010000007A00000000000000001000007C00000001000000FEFFFFFF0000000079000000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</t>
  </si>
  <si>
    <t>FFFFFFFFFFFFFFFFFFFFFFFFECA5C100078019040000F012BF000000000000100000000000080000BE1400000E00626A626AF17CF17C00000000000000000000000000000000000019041600341C00009316010093160100E102000000000000000000000000000000000000000000000000000000000000FFFF0F000000000000000000FFFF0F000000000000000000FFFF0F0000000000000000000000000000000000B70000000000021800000000000002180000642500000000000064250000000000006425000000000000642500000000000064250000140000000000000000000000FFFFFFFF0000000078250000000000007825000000000000782500000000000078250000140000008C250000240000007825000000000000D49C00001A020000B025000000000000B025000000000000B025000000000000B025000000000000B025000000000000C726000000000000C726000000000000C726000000000000479C000002000000499C000000000000499C000000000000499C000000000000499C000000000000499C000000000000499C000024000000EE9E0000A202000090A10000540000006D9C000021000000000000000000000000000000000000006425000000000000C72600000000000000000000000000000000000000000000C726000000000000C72600000000</t>
  </si>
  <si>
    <t>0000C726000000000000C7260000000000006D9C000000000000000000000000000064250000000000006425000000000000B0250000000000000000000000000000B0250000170100008E9C0000160000001B270000000000001B270000000000001B27000000000000C7260000160000006425000000000000B0250000000000006425000000000000B025000000000000479C00000000000000000000000000001B27000000000000000000000000000000000000000000000000000000000000000000000000000000000000000000000000000000000000C726000000000000479C00000000000000000000000000001B270000000000001B2700005E0500002F900000D80300000000000000000000000000000000000000000000000000000000000000000000000000000000000000000000000000000000000000000000000000000000000000000000000000009F99000000000000B025000000000000FFFFFFFF0000000020D7C0F42807D10100000000000000007825000000000000DD2600002200000007940000680000000000000000000000339C000014000000A49C000030000000D49C0000000000006F94000030050000E4A1000000000000FF2600001C000000E4A10000D00000009F990000000000000000000000000000000000000000000000000000000000000000</t>
  </si>
  <si>
    <t>00000000000000000000000000000000000000000000000000000000000000000000000000009F990000C8000000E4A100000000000000000000000000006425000000000000679A0000CC010000C726000000000000C7260000000000001B27000000000000C726000000000000C7260000000000000000000000000000000000000000000000000000000000000000000000000000C726000000000000C726000000000000C7260000000000006D9C0000000000006D9C00000000000000000000000000000000000000000000000000000000000000000000000000001B270000000000000000000000000000000000000000000000000000000000000000000000000000C726000000000000C726000000000000C726000000000000D49C000000000000C726000000000000C726000000000000C726000000000000C7260000000000000000000000000000FFFFFFFF00000000FFFFFFFF00000000FFFFFFFF000000000000000000000000FFFFFFFF00000000FFFFFFFF00000000FFFFFFFF00000000FFFFFFFF00000000FFFFFFFF00000000FFFFFFFF00000000FFFFFFFF00000000FFFFFFFF00000000FFFFFFFF00000000FFFFFFFF00000000FFFFFFFF00000000FFFFFFFF00000000FFFFFFFF00000000FFFFFFFF00000000E4A1000000000000C726000000000000C72600000000</t>
  </si>
  <si>
    <t>0000C726000000000000C726000000000000C726000000000000C7260000000000000000000000000000000000000000000000000000000000000000000000000000000000000000000000000000000000000000000000000000C726000000000000C726000000000000C72600000000000002180000280C00002A2400003A0100000500120100001904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</si>
  <si>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3504440442044C042D0014043E0431044B0447043004BB0020000D005F005F005F005F005F005F005F005F005F005F005F005F005F005F005F005F005F005F005F005F0010042E0024042E0020002404350434043E0441043504350432040D00AB0020005F005F005F005F002000BB0020005F005F005F005F005F005F005F005F005F005F005F005F005F005F003200300031003500200033042E000D000D0007000D000D000D00070007002204200015042000250420001D0420001E0420001B0420001E04200013042000180420002704200015042000210420001A0420001804200019042000200020001F0420001B042000100420001D040D003F0440043E0432043504340435043D0438044F0420004004300431043E04420420003F043E04200033043B044304480435043D0438044E04200041043A0432043004360438043D044B040D000D000D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</si>
  <si>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000000000000000000000000000000000000000000000000000000000000000000000000000000000000000000000000000000000000000000000000000000000000000000000000000000000000000000000000000800001A0800001C0800001E0800005A0900005C090000560A0000580A00005A0A00005C0A0000620A0000640A0000B40A0000FE0A0000000B0000020B0000040B0000001200005614000058140000EFE3DCCDBEAFDCA8DCA1DC91877D6F5E5C4D3E000000000000000000000000000000000000000000000000001C1568AF17AA001668AD779F00434A18004F4A0000514A0000614A1800001C1568AF17AA001668AF17AA00434A18004F4A0000514A0000614A18000003550801201568AF17AA001668AF17AA004F4A0000514A0000614A18006D48090473480904001A1668387C8E004F4A0000514A0000614A18006D480904734809040012166809467B004F4A0000514A0000614A180000121668387C8E004F4A0000514A0000614A1800001F156809467B00166809467B00350881434A20004F4A0000514A0000614A20000C156834166F0016681C0AE600000C156834166F00166886692700001C1568C149050016681C0AE600434A18004F4A0000514A0000614A1800001C1568C1490500166886692700434A18004F4A0000514A0000614A1800001C1568C14905</t>
  </si>
  <si>
    <t>00166809467B00434A18004F4A0000514A0000614A1800000C156834166F00166809467B0000171568C1490500166809467B00350881434A1C00614A1C001F1568C1490500166809467B00350881434A1C004F4A0000514A0000614A1C000013000800001A0800001C0800001E080000A8080000D60800001C0900005A0900005C0900005E090000A6090000D4090000180A0000560A0000F3000000000000000000000000EA0000000000000000000000009A00000000000000000000000089000000000000000000000000890000000000000000000000008900000000000000000000000074000000000000000000000000740000000000000000000000008900000000000000000000000089000000000000000000000000890000000000000000000000008900000000000000000000000074000000000000000000000000000000000000001500000324031184C5021264F000010014A400001624014966010000006084C5026124036764C14905001100000324031264F000010014A400001624014966010000006124036764C1490500004F00006B640000000016240117240149660100000002966C0008D630000294FFDA1111140006461200000000000000000000000000000000000637020000000000000000000000000000000014F6037D1417F60300001AD608000000FF0000</t>
  </si>
  <si>
    <t>00FF1BD608000000FF000000FF1CD608000000FF000000FF1DD608000000FF000000FF34D60600010503000034D60600010A036C0061F60300007974B26D6300090000162401496601000000676434166F000C00000324011624014966010000006124016764C1490500000D560A0000580A00005A0A00005C0A00005E0A0000600A0000620A0000640A0000B40A0000000B0000020B0000040B0000581400005A140000F6000000000000000000000000F6000000000000000000000000ED000000000000000000000000ED000000000000000000000000ED000000000000000000000000ED0000000000000000000000009D000000000000000000000000930000000000000000000000008600000000000000000000000086000000000000000000000000860000000000000000000000007800000000000000000000000078000000000000000000000000000000000000000000000000000000000D00000324031184C50214A478006084C502612403676409467B00000C370003240112641401010014A40000612401676409467B000009000003240114A40000612401676409467B00004F00006B645700000016240117240149660100000002966C0008D630000294FFDA1111140006461200000000000000000000000000000000000637020000000000000000000000000000000014</t>
  </si>
  <si>
    <t>F6037D1417F60300001AD608000000FF000000FF1BD608000000FF000000FF1CD608000000FF000000FF1DD608000000FF000000FF34D60600010503000034D60600010A036C0061F60300007974B26D6300090000162401496601000000676434166F00090000162401496601000000676409467B00000D120441043504200042044004350431043E04320430043D0438044F0420003E044504400430043D044B042000420440044304340430042000380420002204350445043D0438043A04380420003104350437043E043F04300441043D043E0441044204380420002C0020002D043A043E043B043E04330438044704350441043A043E04390420003104350437043E043F04300441043D043E044104420438042C0020001F0440043E044204380432043E043F043E043604300440043D043E04390420003104350437043E043F04300441043D043E044104420438042000380420002D043B0435043A04420440043E043104350437043E043F04300441043D043E044104420438042C0020003E043F0440043504340435043B0435043D043D044B043504200042044004350431043E04320430043D0438044F043C0438042000380420004104420430043D04340430044004420430043C04380420001A043E043C043F0430043D04380438042C00200030042000420430043A0436043504</t>
  </si>
  <si>
    <t>200042044004350431043E04320430043D0438044F042C0020003F044004350434044A044F0432043B044F0435043C044B04350420002204350445043D0438044704350441043A0438043C04380420003F044004380420001A04200421042C00200034043E043B0436043D044B04200032044B043F043E043B043D044F0442044C0441044F0420003204200042043504470435043D0438043504200032044104350433043E0420003204400435043C0435043D04380420003F0440043E0432043504340435043D0438044F0420004004300431043E0442042E000D000D000D000D000D000D000D000D000D000D000D000D000D000D000D000D000D000D000D000D000D000D000D000D000D000D000D000D000D000D000D000D000D000D000D000D000D000D000D000D000D000D000D000D000D000D000D000D000D000D000D000D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</si>
  <si>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581400005A1400005C1400005E1400006014000068140000BE140000F0E0CDBDAD9D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E1668A679DB00434A18004F4A0000514A0000614A18006D48090473480904001E1668111BF600434A18</t>
  </si>
  <si>
    <t>004F4A0000514A0000614A18006D48090473480904001E16689727AD00434A18004F4A0000514A0000614A18006D48090473480904002415686615A40016686615A400434A18004F4A0000514A0000614A18006D48090473480904001E16686615A400434A18004F4A0000514A0000614A18006D48090473480904001E16689E7B2600434A18004F4A0000514A0000614A18006D48090473480904065A1400005C1400005E14000060140000621400006414000066140000681400006A1400006C1400006E14000070140000721400007414000076140000781400007A1400007C1400007E14000080140000821400008414000086140000881400008A1400008C1400008E1400009014000092140000F1000000000000000000000000F1000000000000000000000000F1000000000000000000000000F1000000000000000000000000F1000000000000000000000000F1000000000000000000000000F1000000000000000000000000F1000000000000000000000000F1000000000000000000000000F1000000000000000000000000F1000000000000000000000000F1000000000000000000000000F1000000000000000000000000F1000000000000000000000000F1000000000000000000000000F1000000000000000000000000F1000000000000000000000000F1000000000000</t>
  </si>
  <si>
    <t>000000000000F1000000000000000000000000F1000000000000000000000000F1000000000000000000000000F1000000000000000000000000F1000000000000000000000000F1000000000000000000000000F1000000000000000000000000F1000000000000000000000000F1000000000000000000000000F10000000000000000000000000000000D00000324031184C50214A478006084C502612403676409467B00001C921400009414000096140000981400009A1400009C1400009E140000A0140000A2140000A4140000A6140000A8140000AA140000AC140000AE140000B0140000B2140000B4140000B6140000B8140000BA140000BC140000BE140000F1000000000000000000000000F1000000000000000000000000F1000000000000000000000000F1000000000000000000000000F1000000000000000000000000F1000000000000000000000000F1000000000000000000000000F1000000000000000000000000F1000000000000000000000000F1000000000000000000000000F1000000000000000000000000F1000000000000000000000000F1000000000000000000000000F1000000000000000000000000F1000000000000000000000000F1000000000000000000000000F1000000000000000000000000F1000000000000000000000000F10000000000</t>
  </si>
  <si>
    <t>00000000000000F1000000000000000000000000F1000000000000000000000000F10000000000000000000000000000000000000000000000000000000000000000000000000000000000000000000000000000000000000000000000000000000000000000000000000000000000000000000000000000000000000000000000000000000000000000000000000000000000000000000D00000324031184C50214A478006084C502612403676409467B0000163200319068013A70781032001FB0822E20B0C64121B08A0522B03702239053032490530325B0000017B0C40218B0C4020C90C40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</si>
  <si>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55001624011724014966010000000196000021760002680135D605000103461235D60501020337022376000146122376010237023A560B0002966C0014F6037D1435D605000103461235D60501020337027974B26D630055001624011724014966010000000196000021760002680135D605000103461235D60501020337022376000146122376010237023A560B0002966C0014F6037D1435D605000103461235D60501020337027974B26D63000000000000000000000000000000000000000000000000000000000000000000000000000000000000000000000000000000000000000000000000000000000000000000000000000000000000000000000000000000000000000000000000000000000000000000000000000000000000000000000000000000000000000000000000000000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</si>
  <si>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6A043A00120001000B010F0007000300030003000000040008000000980000000E0000009E0000009E0000009E0000009E0000009E0000009E0000009E0000003606000036060000360600003606000036060000360600003606000036060000360600007E0200007E0200007E0200007602000076020000760200007602000076020000760200003606000036060000360600003606000006000000360600000E000000360600003606000036060000360600003606000036060000060000003606000036060000360600003606000036060000</t>
  </si>
  <si>
    <t>360600003606000036060000360600003606000036060000360600003606000036060000360600003606000036060000360600003606000036060000080000003606000036060000160000003606000036060000360600003606000036060000360600003606000036060000B80000003606000036060000360600003606000036060000360600003606000036060000060000003606000036060000360600006801000048010000360600000600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36060000B0030000360600003206000018000000C0030000D0030000E0030000F003000000040000100400002004000030040000400400005004000060040000700400008004000090040000</t>
  </si>
  <si>
    <t>C0030000D0030000E0030000F003000000040000100400003206000028020000D8010000E80100002004000030040000400400005004000060040000700400008004000090040000C0030000D0030000E0030000F003000000040000100400002004000030040000400400005004000060040000700400008004000090040000C0030000D0030000E0030000F003000000040000100400002004000030040000400400005004000060040000700400008004000090040000C0030000D0030000E0030000F003000000040000100400002004000030040000400400005004000060040000700400008004000090040000C0030000D0030000E0030000F003000000040000100400002004000030040000400400005004000060040000700400008004000090040000C0030000D0030000E0030000F0030000000400001004000020040000300400004004000050040000600400007004000080040000900400003801000058010000F80100000802000018020000560200007E020000200000004F4A0300504A0300514A03005F4801046D4819046E4819047348190474481904000000004C000060F1FF02004C000C10000028598D00000007001E0431044B0447043D044B04390400000C00000012641401010014A4C8001800434A16005F480104614A16006D48190473481904744809047600</t>
  </si>
  <si>
    <t>01000100020076000C100F006666D00090000B001704300433043E043B043E0432043E043A04200031000000190001000524010624011264F000010013A4E00114A40000402600002B00350801422A07434A1C004F4A0400504A0000514A04005C08015E4A0000614A1C007068365F91007448190400660002000100020066000C1010006666D00000000B001704300433043E043B043E0432043E043A04200032000000190002000624011264F000010014A400004026016084C502612401001B00350801434A18004F4A0000504A0000514A00005E4A0000614A1C0000760003000100020076000C1911006666D00090000B001704300433043E043B043E0432043E043A04200033000000190003000524010624011264F000010013A4C80014A40000402602002B00350801422A07434A18004F4A0400504A0000514A04005C08015E4A0000614A180070684F81BD00744819040000000000000000000000000042004120F2FFA10042000C0D000000000000100015001E0441043D043E0432043D043E04390420004804400438044404420420003004310437043004460430040000000058006940F3FFB30058000C1D00000000000030060F001E0431044B0447043D0430044F0420004204300431043B0438044604300400001C0017F603000034D60600010A036C0034D6060001050300</t>
  </si>
  <si>
    <t>0061F603000002000B0000002E006B20F4FFC1002E00000D00000000000030060A001D0435044204200041043F04380441043A043004000002000C00000000006400FE0FA200F10064000C0001006666D000900010001704300433043E043B043E0432043E043A0420003100200017043D0430043A0400002B00350881422A07434A1C004F4A0400504A0000514A04005C08815E4A0000614A1C007068365F910074481904005400FE0FA200010154000C0002006666D000000010001704300433043E043B043E0432043E043A0420003200200017043D0430043A0400001B00350881434A18004F4A0000504A0000514A00005E4A0000614A1C00006400FE0FA200110164000C0103006666D000900010001704300433043E043B043E0432043E043A0420003300200017043D0430043A0400002B00350881422A07434A18004F4A0400504A0000514A04005C08815E4A0000614A180070684F81BD0074481904007A009A00B30023017A000C00000026429900B0030D002104350442043A04300420004204300431043B04380446044B04000037003A56120013D630000000FF04010000000000FF04010000000000FF04010000000000FF04010000000000FF04010000000000FF04010000000C0012001264F000010014A4000000003C00B300010032013C000C1000005D33E70020020C00</t>
  </si>
  <si>
    <t>10043104370430044604200041043F04380441043A0430040000090013005E84D0026D2401000000700052000100420170000C081500D623030030061B001E0441043D043E0432043D043E0439042000420435043A04410442042000410420003E0442044104420443043F043E043C04200032000000100014001264E001010014A478005E841B0110004F4A0300504A0300514A03005E4A00006800FE0FA200510168000C001400D6230300300620001E0441043D043E0432043D043E0439042000420435043A04410442042000410420003E0442044104420443043F043E043C0420003200200017043D0430043A04000010004F4A0300504A0300514A03005E4A0000540099000100620154000C09170085295A0030060D00220435043A0441044204200032044B043D043E0441043A04380400000C0016001264F000010014A400001400434A10004F4A0500514A05005E4A0500614A10005000FE0FA200710150000C01160085295A0030061200220435043A0441044204200032044B043D043E0441043A043804200017043D0430043A0400001400434A10004F4A0500514A05005E4A0500614A10005A003E00010082015A000C1019006666D000000008001D0430043704320430043D043804350400000F0018001264F000010014A40000612401001F00350801434A18004F4A000050</t>
  </si>
  <si>
    <t>4A0000514A00005E4A0000614A140074481904005200FE0FA200910152000C0018006666D00000000D001D0430043704320430043D0438043504200017043D0430043A0400001F00350881434A18004F4A0000504A0000514A00005E4A0000614A140074481904006C0020000100A2016C000C001B006666D000000011001D04380436043D043804390420003A043E043B043E043D0442043804420443043B04000017001A001264F000010014A4000015C6080002391072200102001800434A14004F4A0000504A0000514A00005E4A0000614A14005C00FE0FA200B1015C000C001A006666D000000016001D04380436043D043804390420003A043E043B043E043D0442043804420443043B04200017043D0430043A0400001800434A14004F4A0000504A0000514A00005E4A0000614A140034002920F2FFC10134000C0000006666D00000000E001D043E043C0435044004200041044204400430043D04380446044B040000000076001400010002007600051000006666D00070020C001E0433043B04300432043B0435043D04380435042000320000001A001D0012646801010014A4000015C6080002E001C326000A6124032A00350801434A14004F4A0000504A0000514A00005E4A0000614A14006D4800046E480004744819047508017A001300010002007A00051000006666D000</t>
  </si>
  <si>
    <t>70020C001E0433043B04300432043B0435043D04380435042000310000001A001E0012646801010014A4000015C60800026801C326000A6124032D003B0801434A18004F4A0000504A0000514A00005C08015E4A0000614A18006D4800046E48000474481904750801003A005520F2FFF1013A000C0000006666D00030060B00130438043F0435044004410441044B043B043A04300400000C003E2A01422A0270680000FF0078001500010002007800051800006666D00070020C001E0433043B04300432043B0435043D04380435042000330000001B00200012646801010014A4000015C6050001B7260A6084C502612403002A00350801434A14004F4A0000504A0000514A00005E4A0000614A14006D4800046E480004744819047508016400FE0F0100020064000C0000006666D000000009006D005F0031005F001F0443043D043A0442040000160021000624010B4605001264F000010014A4000061240322003508013B0801434A18004F4A0000504A0000514A00005E4A0000614A1800744819046600FE0F0100020066000C0000006666D000000009006D005F0032005F001F0443043D043A04420400001A0022000624011264F000010014A4000015C6050001FE01006124031F00350801434A18004F4A0000504A0000514A00005E4A0000614A1800744819040052000A011100</t>
  </si>
  <si>
    <t>020052000C1800006666D000700214001704300433043E043B043E0432043E043A0420003E0433043B04300432043B0435043D0438044F0400000B0023001264140101004026090004007448090452009D20F1FF420252000C1000006666D00010000D00110435043704200038043D04420435044004320430043B0430040000020024001C00434A1600504A00005F480104614A16006D48190473481904744819047000FE0F0100020070000C0000006666D000000009006D005F0033005F001F0443043D043A04420400001B0025001264F000010014A4000015C60500015804065E848801612403002700350801434A18004F4A0000504A0000514A00005E4A0000614A18006D4809047348090474481904005A001D00010062025A000C0927006666D00030060C00220435043A0441044204200041043D043E0441043A04380400000C0026001264F000010014A400001C00434A14004F4A0000504A0000514A00005E4A0000614A1400744819045600FE0FA200710256000C0126006666D00030061100220435043A0441044204200041043D043E0441043A043804200017043D0430043A0400001C00434A14004F4A0000504A0000514A00005E4A0000614A140074481904680022000100020068000C1000006666D000000010001D0430043704320430043D043804350420003E043104</t>
  </si>
  <si>
    <t>4A0435043A044204300400000C0028001264F000010014A400002200350801434A14004F4A0000504A0000514A00005C08015E4A0000614A1400744819047C005300010092027C000C002A006666D00000001B001E0441043D043E0432043D043E0439042000420435043A04410442042000410420003E0442044104420443043F043E043C04200033000000100029001264F000010014A478005E841B011C00434A10004F4A0000504A0000514A00005E4A0000614A1000744819047400FE0FA200A10274000C0029006666D000000020001E0441043D043E0432043D043E0439042000420435043A04410442042000410420003E0442044104420443043F043E043C0420003300200017043D0430043A0400001C00434A10004F4A0000504A0000514A00005E4A0000614A1000744819045E0042000100B2025E000C082C006666D00030060E001E0441043D043E0432043D043E0439042000420435043A044104420400000C002B001264F000010014A478001C00434A18004F4A0000504A0000514A00005E4A0000614A1800744819045A00FE0FA200C1025A000C002B006666D000300613001E0441043D043E0432043D043E0439042000420435043A0441044204200017043D0430043A0400001C00434A18004F4A0000504A0000514A00005E4A0000614A1800744819047200FE2F0100</t>
  </si>
  <si>
    <t>020072000C002E006666D00000000F006D005F001704300433041F04400438043B043E04360435043D043804350400000F002D001264F000010014A400006124010029003508813B0881434A18004F4A0000504A0000514A00005C0881614A18006D4800007348000074481904006600FE2FF2FFE10266000C022D006666D000000014006D005F001704300433041F04400438043B043E04360435043D0438043504200017043D0430043A04000025003508813B0881434A18004F4A0000504A0000514A00005C08815E4A0000614A180074481904005000FE0F0100F20250000C0000006666D000000004004204300431043B04000012002F001264F000010014A400003724003824001C00434A14004F4A0000504A0000514A00005E4A0000614A1400744819044C005A00010002034C000C0031006666D00000000500220435043A044104420400000C0030001264F000010014A400001C00434A14004F4A0600504A0000514A06005E4A0000614A1400744819044800FE0FA200110348000C0030006666D00000000A00220435043A0441044204200017043D0430043A0400001C00434A14004F4A0600504A0000514A06005E4A0000614A1400744819044C00FE0F010022034C000C0000006666D000000005003E0431044B0447043D0400000C0032001264F000010014A400001C00434A</t>
  </si>
  <si>
    <t>18004F4A0000504A0000514A00005E4A0000614A1800744819047A00FE0F010002007A000C0000006666D0000000110053005F001D0430043704320430043D04380435042204300431043B04380446044B0400001D0033000624011264F000010014A4000015C60500019A0600312400612402001F00350801434A14004F4A0200504A0000514A02005E4A0000614A180074481904004800FE0F0100420348000C0000006666D00000000100610000000F0034001264F000010014A40000612403001C00434A18004F4A0000504A0000514A00005E4A0000614A18007448190462001E000100520362000C0836006666D00030061000220435043A044104420420003F04400438043C043504470430043D0438044F0400000C0035001264F000010014A400001C00434A14004F4A0000504A0000514A00005E4A0000614A1400744819045E00FE0FA20061035E000C0035006666D00030061500220435043A044104420420003F04400438043C043504470430043D0438044F04200017043D0430043A0400001C00434A14004F4A0000504A0000514A00005E4A0000614A140074481904460050400100720346000C09380009467B00300610001E0441043D043E0432043D043E0439042000420435043A04410442042000320000000C0037001264E001010014A4780000004200FE0FA2008103</t>
  </si>
  <si>
    <t>42000C01370009467B00300615001E0441043D043E0432043D043E0439042000420435043A044104420420003200200017043D0430043A04000000007401FE0FB300930374010C000000C1490500D0030E0021043204350442043B044B043904200041043F04380441043E043A040000E2003A56390013D6300000000008010000000000000801000000000000080100000000000008010000000000FF00000000000000FF000000008834018934016AD62E40007FD408000000000801000080D608000000000801000081D608000000000801000082D60800000000080100006AD62E10007FD408000000000801000080D608000000000801000081D608000000000801000082D60800000000080100006AD62E02007FD408000000000603000080D608000000000801000081D608000000000801000082D60800000000080100006AD60F010087D60A000000FF0000000000002800390066C61002001264F000010013A4000014A4000066C61001001264F000010013A4000014A40000320085CA0808003508015C080185CA0804003508015C080185CA0802003508015C080185CA0E01003508015C08017068FFFFFF00504B030414000600080000002100828ABC13FA0000001C020000130000005B436F6E74656E745F54797065735D2E786D6CAC91CB6AC3301045F785FE83D0B6D872BA</t>
  </si>
  <si>
    <t>28A5D8CEA249777D2CD20F18E4B12D6A8F843409C9DF77ECB850BA082D74231062CE997B55AE8FE3A00E1893F354E9555E6885647DE3A8ABF4FBEE29BBD72A3150038327ACF409935ED7D757E5EE14302999A654E99E393C18936C8F23A4DC072479697D1C81E51A3B13C07E4087E6B628EE8CF5C4489CF1C4D075F92A0B44D7A07A83C82F308AC7B0A0F0FBF90C2480980B58ABC733615AA2D210C2E02CB04430076A7EE833DFB6CE62E3ED7E14693E8317D8CD0433BF5C60F53FEA2FE7065BD80FACB647E9E25C7FC421FD2DDB526B2E9373FED4BB902E182E97B7B461E6BFAD3F010000FFFF0300504B030414000600080000002100A5D6A7E7C0000000360100000B0000005F72656C732F2E72656C73848FCF6AC3300C87EF85BD83D17D51D2C31825762FA590432FA37D00E1287F68221BDB1BEBDB4FC7060ABB0884A4EFF7A93DFEAE8BF9E194E720169AAA06C3E2433FCB68E1763DBF7F82C985A4A725085B787086A37BDBB55FBC50D1A33CCD311BA548B63095120F88D94FBC52AE4264D1C910D24A45DB3462247FA791715FD71F989E19E0364CD3F51652D73760AE8FA8C9FFB3C330CC9E4FC17FAF2CE545046E37944C69E462A1A82FE353BD90A865AAD41ED0B5B8F9D6FD010000FFFF0300504B0304140006000800000021006B799616830000008A0000001C0000007468656D</t>
  </si>
  <si>
    <t>652F7468656D652F7468656D654D616E616765722E786D6C0CCC4D0AC3201040E17DA17790D93763BB284562B2CBAEBBF600439C1A41C7A0D29FDBD7E5E38337CEDF14D59B4B0D592C9C070D8A65CD2E88B7F07C2CA71BA8DA481CC52C6CE1C715E6E97818C9B48D13DF49C873517D23D59085ADB5DD20D6B52BD521EF2CDD5EB9246A3D8B4757E8D3F729E245EB2B260A0238FD010000FFFF0300504B030414000600080000002100A0BC18C6B5060000831B0000160000007468656D652F7468656D652F7468656D65312E786D6CEC59CF6E1B4518BF23F10EA3BDB7B1133B8DA33855ECD80DB469A3D82DEA71BC1EEF4E33BBB39A1927F5AD4A8F482044411CA8045C382020528BB8B4EFE03E43A0088AD457E09B995D7B27DE90A48DA082E6107B677FDFFF3FF3CD78E5F2DD88A15D2224E571DD2B5F2C7988C43EEFD338A87B37BBED0B4B1E920AC77DCC784CEADE8848EFF2EABBEFACE06515928820A08FE532AE7BA152C9F2DC9CF46119CB8B3C2131BC1B701161058F2298EB0BBC077C2336375F2A2DCE4598C61E8A71046CC7DF8C7F1A3F191FA01B8301F589B79AF16F3110122BA9177C263A9A3BC988BE7EB63F3E183F1D3F1E1F3CBB07DF9FC2E7C786B6BF53D61472249B4CA05DCCEA1E88EEF3BD2EB9AB3CC4B054F0A2EE95CC9F37B7BA3287975322A68EA1CDD1B5CD5F4A97</t>
  </si>
  <si>
    <t>12F477E68D4C11F42642CBED4AEDD2FA84BF0130358B6BB55ACD5679C2CF00B0EF83E556973CCF4A7BA9DCC878E640F6EB2CEF66A95AAAB8F81CFF85199D6B8D46A35A4B75B14C0DC87EADCCE0974A8B95B579076F40165F9DC1571A6BCDE6A28337208B5F9CC1B72FD5162B2EDE804246E39D19B40E68BB9D729F40069C6D14C29700BE544AE1531464C324DBB488018FD569732FC277B8680381266458D118A9514206D887446FE2A82728D602F132C1B93776C997334B5A3692BEA089AA7BEF27188A66CAEFE593EF5F3E79840EF71F1FEEFF7C78FFFEE1FE8F969143B581E3204FF5E2DB4FFE7C780FFDF1E8AB170F3E2BC6CB3CFED71F3EFCE5E9A7C54028A7A93ACF3F3FF8EDF1C1F32F3EFAFDBB0705F035817B7978974644A2EB640F6DF3080C335E7135273D71368A6E88699E622D0E248EB19652C0BFA542077D7D84591A1D478F06713D784B403B29025E19DE7114EE8462A86881E4AB61E4003739670D2E0ABD7055CBCAB9B93B8C8362E16298C76D63BC5B24BB896327BEAD61027D354B4BC7F066481C35B7188E150E484C14D2EFF80E2105D6DDA6D4F1EB26F505977CA0D06D8A1A9816BAA44B7B4E364D89366804711915D90CF1767CB3790B35382BB27A9DECBA48A80ACC0A94EF12E6B8F10A1E2A1C15B1ECE288E51D7E0DABB048C9CE48F8795C4B2A8874401847AD3E91</t>
  </si>
  <si>
    <t>B288E686007B7341BF8AA18315867D938D22172914DD29E2790D739E47AEF39D6688A3A408DBA17198C7BE2777204531DAE2AA08BEC9DD0AD1CF10071C1F1BEE5B9438E13EB91BDCA481A3D23441F49BA1D0B184D6ED74E088C67FD78E19857E6C73E0FCDA3134C0E75F3E2CC8AC37B511AFC19E5454091B47DAEF71B8A34DB7C9459FBEF93D771D0FE32D02693EBBF1BC6DB96F5BAEF79F6FB9C7D5F3691BEDB4B742DBD573831D92CDC81C9D7A621E50C63A6AC4C83569866609FB46BF0D8B9A8F395092C9892A09E16BDAE71D5C20B0A14182AB0FA80A3B214E60E02E7B9A492053D68144099770F033CB85BC351E8676658F8D557DA0B0FD4162B5C9FB7679412F67E786091BB3FB04E6B09A095AD00C4E2B6CE152CA14CC7E156165ADD4A9A5958D6AA6F539D22626434C674D83C5893761204130C6809717E148AF45C3410533D2D77EB77B7116161385F30C910C719FA431D276CFC6A86C8294E58AB93980DC2988913E049EE0B59CB49A66FB1AD24E13A4BCB8CA31E2B2E8BD4E94B20C9E4649D7F191726471BE38598CF6EA5EAD3A5FF5908F93BA3780332E7C8D1288BAD433206601DC25F94AD8B43FB1984D954FA359CB0C738BA00CD718D6EF33063B7D201152AD6319DAD430AFD21460B19664F59FAF825BCFCB009BE9AFA0C5C21224C3BFA605F8D10D2D190C88AFF2C1CEAD68</t>
  </si>
  <si>
    <t>DFD9C7B495F2A122A213F6F7508F0DC53686F0EB54057BFA54C25585E908FA01EED9B4B7CD2BB739A74597BFDD3238BB8E5912E2B4DDEA12CD2AD9C24D1D4F74304F39F5C0B642DD8D716737C594FC3999924FE3FF99297A3F819B8385BE8E800F37BF02235DAF758F0B1572E8424948FDB68041C2F40EC816B8AB85D7905470FF6C3E05D9D59FB6E62C0F53D6700054DB344082C27EA44241C816B425937D27302BA77B9765C9524626A372EACAC4AADD23BB8475750F5CD47BBB87424875D34DD236607047F3CF7D4E2BA817E821275F6F4E0F99ECBDB606FEE9C9C7163318E5F66133D064FE9FA858B0AB5A7A439EEDBD7943F48BE99855C9AA0284E5B6825A5AF6AFA8C219B75ADBB1662C9EAF66CA4114672D86C5C94094C0FD0FD2FF60FFA3C267F6970CBDA176F936F456043F446866903690D517ECE0817483B48B3D189CECA24D26CDCABA361D9DB4D7B2CDFA9C27DD89DC23CED69A9D26DE6774F6643873C539B5789ECE4E3DECF8DAAE1DEB6A88ECD11285A54176B0318131BF82E57FA5E2BD3B10E875B8EF1F32254D32C16F4E02C3E8D9317500C56F251AD2D5BF000000FFFF0300504B0304140006000800000021000DD1909FB60000001B010000270000007468656D652F7468656D652F5F72656C732F7468656D654D616E616765722E786D6C2E72656C73848F4D0AC23014</t>
  </si>
  <si>
    <t>84F78277086F6FD3BA109126DD88D0ADD40384E4350D363F2451ECED0DAE2C082E8761BE9969BB979DC9136332DE3168AA1A083AE995719AC16DB8EC8E4052164E89D93B64B060828E6F37ED1567914B284D262452282E3198720E274A939CD08A54F980AE38A38F56E422A3A641C8BBD048F7757DA0F19B017CC524BD62107BD5001996509AFFB3FD381A89672F1F165DFE514173D9850528A2C6CCE0239BAA4C04CA5BBABAC4DF000000FFFF0300504B01022D0014000600080000002100828ABC13FA0000001C0200001300000000000000000000000000000000005B436F6E74656E745F54797065735D2E786D6C504B01022D0014000600080000002100A5D6A7E7C0000000360100000B000000000000000000000000002B0100005F72656C732F2E72656C73504B01022D00140006000800000021006B799616830000008A0000001C00000000000000000000000000140200007468656D652F7468656D652F7468656D654D616E616765722E786D6C504B01022D0014000600080000002100A0BC18C6B5060000831B00001600000000000000000000000000D10200007468656D652F7468656D652F7468656D65312E786D6C504B01022D00140006000800000021000DD1909FB60000001B0100002700000000000000000000000000BA0900007468656D652F7468656D652F5F7265</t>
  </si>
  <si>
    <t>6C732F7468656D654D616E616765722E786D6C2E72656C73504B050600000000050005005D010000B50A000000003C3F786D6C2076657273696F6E3D22312E302220656E636F64696E673D225554462D3822207374616E64616C6F6E653D22796573223F3E0D0A3C613A636C724D617020786D6C6E733A613D22687474703A2F2F736368656D61732E6F70656E786D6C666F726D6174732E6F72672F64726177696E676D6C2F323030362F6D61696E22206267313D226C743122207478313D22646B3122206267323D226C743222207478323D22646B322220616363656E74313D22616363656E74312220616363656E74323D22616363656E74322220616363656E74333D22616363656E74332220616363656E74343D22616363656E74342220616363656E74353D22616363656E74352220616363656E74363D22616363656E74362220686C696E6B3D22686C696E6B2220666F6C486C696E6B3D22666F6C486C696E6B222F3E00000000E10200000B00001C00000000FFFFFFFF0008000058140000BE140000060000000B00000000080000560A00005A14000092140000BE14000007000000080000000C0000000D0000000F0000F074000000000006F040000000021C00000700000001000000010000000100000002000000000000000000000000000000000000000000000000000000</t>
  </si>
  <si>
    <t>0000000000000000000000000000000023000BF00C000000864100000000C5410000000040001EF110000000FFFF00000000FF0080808000F7000010000F0002F092000000100008F00800000001000000010400000F0003F0300000000F0004F028000000010009F0100000000000000000000000000000000000000002000AF00800000000040000050000000F0004F04200000012000AF00800000001040000000E000053000BF01E000000BF0100001000CB0100000000FF01000008000403090000003F0301000100000011F0040000000100000000000000F201000005020000E302000007001C000700000000005201000053010000B4010000B6010000E302000007001A0007001A000700000000000F0000000C01000032010000E302000005000700050007003100B160E205184232B1FF0FFF0FFF0FFF0FFF0FFF0FFF0FFF0FFF0F1000457CE9053C79987AFF0FFF0FFF0FFF0FFF0FFF0FFF0FFF0FFF0F0000BB5EAA09F0793C8FFF0FFF0FFF0FFF0FFF0FFF0FFF0FFF0FFF0F0000F04A1A0A02F21040FF0FFF0FFF0FFF0FFF0FFF0FFF0FFF0FFF0F10000036270A4CFAA6CAFF0FFF0FFF0FFF0FFF0FFF0FFF0FFF0FFF0F10005D3B140BDEF8A44AFF0FFF0FFF0FFF0FFF0FFF0FFF0FFF0FFF0F1000D86F5617A25FB2FDFF0FFF0FFF0FFF0FFF0FFF0FFF0FFF0FFF0F10008E0E1C</t>
  </si>
  <si>
    <t>19907A50A5FF0FFF0FFF0FFF0FFF0FFF0FFF0FFF0FFF0F000093488219980032F5FF0FFF0FFF0FFF0FFF0FFF0FFF0FFF0FFF0F1000EA7A081D0C8212D7FF0FFF0FFF0FFF0FFF0FFF0FFF0FFF0FFF0F1000594F6F1E0ED80C99FF0FFF0FFF0FFF0FFF0FFF0FFF0FFF0FFF0F10008857BA1F3EE39495FF0FFF0FFF0FFF0FFF0FFF0FFF0FFF0FFF0F1000AD41E11FB4D6EA43FF0FFF0FFF0FFF0FFF0FFF0FFF0FFF0FFF0F10002028E41FE0BEF4E3FF0FFF0FFF0FFF0FFF0FFF0FFF0FFF0FFF0F1000DD7BF9214CD98258FF0FFF0FFF0FFF0FFF0FFF0FFF0FFF0FFF0F1000D945B8254A92F270FF0FFF0FFF0FFF0FFF0FFF0FFF0FFF0FFF0F100076141E26ECAC5693FF0FFF0FFF0FFF0FFF0FFF0FFF0FFF0FFF0F0000122B2E286E4A9C80FF0FFF0FFF0FFF0FFF0FFF0FFF0FFF0FFF0F1000182704291F001904FF0FFF0FFF0FFF0FFF0FFF0FFF0FFF0FFF0F0000786226296EB7DE84FF0FFF0FFF0FFF0FFF0FFF0FFF0FFF0FFF0F00008E3EBC29A6574EB6FF0FFF0FFF0FFF0FFF0FFF0FFF0FFF0FFF0F1000D25F512C769FAECEFF0FFF0FFF0FFF0FFF0FFF0FFF0FFF0FFF0F10008F22252D2ADF004EFF0FFF0FFF0FFF0FFF0FFF0FFF0FFF0FFF0F1000B70D3C2D1F001904FF0FFF0FFF0FFF0FFF0FFF0FFF0FFF0FFF0F0000857CD82D44FEA8B9FF0FFF0FFF0FFF0FFF0FFF0FFF0FFF0FFF0F00</t>
  </si>
  <si>
    <t>003377F42ED2578EA9FF0FFF0FFF0FFF0FFF0FFF0FFF0FFF0FFF0F0000DB2097311F001904FF0FFF0FFF0FFF0FFF0FFF0FFF0FFF0FFF0F0000F31D5F397495DAAEFF0FFF0FFF0FFF0FFF0FFF0FFF0FFF0FFF0F1000786F7539163034BBFF0FFF0FFF0FFF0FFF0FFF0FFF0FFF0FFF0F1000C712673B6EB7DE84FF0FFF0FFF0FFF0FFF0FFF0FFF0FFF0FFF0F00008B24343E88DDC416FF0FFF0FFF0FFF0FFF0FFF0FFF0FFF0FFF0F0000D657F947D43076A2FF0FFF0FFF0FFF0FFF0FFF0FFF0FFF0FFF0F10009C2B364B32C4AA34FF0FFF0FFF0FFF0FFF0FFF0FFF0FFF0FFF0F10000320DE4C244EEA4AFF0FFF0FFF0FFF0FFF0FFF0FFF0FFF0FFF0F1000DC5E295142B686E2FF0FFF0FFF0FFF0FFF0FFF0FFF0FFF0FFF0F1000A108525C1F001904FF0FFF0FFF0FFF0FFF0FFF0FFF0FFF0FFF0F00005442A05CF22720B02100FF0FFF0FFF0FFF0FFF0FFF0FFF0FFF0F00004B012E6060678E4CFF0FFF0FFF0FFF0FFF0FFF0FFF0FFF0FFF0F1000867AA162246AC876FF0FFF0FFF0FFF0FFF0FFF0FFF0FFF0FFF0F1000551025683677B89EFF0FFF0FFF0FFF0FFF0FFF0FFF0FFF0FFF0F1000F80BEB6A4897DAD2FF0FFF0FFF0FFF0FFF0FFF0FFF0FFF0FFF0F1000173BB071363D523BFF0FFF0FFF0FFF0FFF0FFF0FFF0FFF0FFF0F1000D71F7172B83AE02DFF0FFF0FFF0FFF0FFF0FFF0FFF0FFF</t>
  </si>
  <si>
    <t>0FFF0F10008161B5727CCD90EEFF0FFF0FFF0FFF0FFF0FFF0FFF0FFF0FFF0F1000F6045A73E80904FAFF0FFF0FFF0FFF0FFF0FFF0FFF0FFF0FFF0F10006251CA7372C30858FF0FFF0FFF0FFF0FFF0FFF0FFF0FFF0FFF0F1000BD2F03762AC7563EFF0FFF0FFF0FFF0FFF0FFF0FFF0FFF0FFF0F1000444C4978ECAC5693FF0FFF0FFF0FFF0FFF0FFF0FFF0FFF0FFF0F00000309247A26C1DCAEFF0FFF0FFF0FFF0FFF0FFF0FFF0FFF0FFF0F1000010000000000010000000000000000000000000000000000031000000F842D04118498FE5E842D04608498FE6F2800020000002900010000000480010000000000000000000000000000000000001000000F84FD06118498FE5E84FD06608498FE020001002E00010000000282010000000000000000000000000000000000001000000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</t>
  </si>
  <si>
    <t>001000000F840D15118498FE5E840D15608498FE020006002E00010000000480010000000000000000000000000000000000001000000F84DD17118498FE5E84DD17608498FE020007002E00010000000282010000000000000000000000000000000000001000000F84AD1A11844CFF5E84AD1A60844CFF020008002E00010000000000010000000000000000000000000000000000031000000F846801118498FE5E846801608498FE6F2800020000002E00010000000000010300000000000000000000000000000000031000000F846801118498FE5E846801608498FE6F2800040000002E0001002E00010000000000010305000000000000000000000000000000031000000F84D002118430FD5E84D002608430FD6F2800060000002E0001002E0002002E00010000000000010305070000000000000000000000000000031000000F84D002118430FD5E84D002608430FD6F2800080000002E0001002E0002002E0003002E00010000000000010305070900000000000000000000000000031000000F8438041184C8FB5E8438046084C8FB6F28000A0000002E0001002E0002002E0003002E0004002E0001000000000001030507090B000000000000000000000000031000000F8438041184C8FB5E8438046084C8FB6F28000C0000002E0001002E0002002E0003002E0004002E00</t>
  </si>
  <si>
    <t>05002E0001000000000001030507090B0D0000000000000000000000031000000F84A005118460FA5E84A005608460FA6F28000E0000002E0001002E0002002E0003002E0004002E0005002E0006002E0001000000000001030507090B0D0F00000000000000000000031000000F84A005118460FA5E84A005608460FA6F2800100000002E0001002E0002002E0003002E0004002E0005002E0006002E0007002E0001000000000001030507090B0D0F11000000000000000000031000000F8408071184F8F85E8408076084F8F86F2800120000002E0001002E0002002E0003002E0004002E0005002E0006002E0007002E0008002E00010000000000010000000000000000000000000000000000031000000F84D002118498FE5E84D002608498FE6F2800020000002E00060000000004010300000000000000000000000000000000031000000F8484031184E4FD5E8484036084E4FD6F2800030000002E000100020000000004010305000000000000000000000000000000031000000F843804118430FD5E843804608430FD6F2800050000002E0001002E000200010000000004010305070000000000000000000000000000031000000F843804118430FD5E843804608430FD6F2800070000002E0001002E0002002E0003000100000000040103050709000000000000000000000000</t>
  </si>
  <si>
    <t>00031000000F84A0051184C8FB5E84A0056084C8FB6F2800090000002E0001002E0002002E0003002E00040001000000000401030507090B000000000000000000000000031000000F84A0051184C8FB5E84A0056084C8FB6F28000B0000002E0001002E0002002E0003002E0004002E00050001000000000401030507090B0D0000000000000000000000031000000F840807118460FA5E840807608460FA6F28000D0000002E0001002E0002002E0003002E0004002E0005002E00060001000000000401030507090B0D0F00000000000000000000031000000F840807118460FA5E840807608460FA6F28000F0000002E0001002E0002002E0003002E0004002E0005002E0006002E00070001000000000401030507090B0D0F11000000000000000000031000000F8470081184F8F85E8470086084F8F86F2800110000002E0001002E0002002E0003002E0004002E0005002E0006002E0007002E000800010000000000010000000000000000000000000000000000031000000F842C04118498FE5E842C04608498FE6F2800020000002900010000000480010000000000000000000000000000000000001000000F84FC06118498FE5E84FC06608498FE020001002E00010000000282010000000000000000000000000000000000001000000F84CC0911844CFF5E84CC0960844CFF02</t>
  </si>
  <si>
    <t>0002002E00010000000080010000000000000000000000000000000000001000000F849C0C118498FE5E849C0C608498FE020003002E00010000000480010000000000000000000000000000000000001000000F846C0F118498FE5E846C0F608498FE020004002E00010000000282010000000000000000000000000000000000001000000F843C1211844CFF5E843C1260844CFF020005002E00010000000080010000000000000000000000000000000000001000000F840C15118498FE5E840C15608498FE020006002E00010000000480010000000000000000000000000000000000001000000F84DC17118498FE5E84DC17608498FE020007002E00010000000282010000000000000000000000000000000000001000000F84AC1A11844CFF5E84AC1A60844CFF020008002E000100000017000000000000000000000000000000000000000B1000000F840705118498FE5E840705608498FE4F4A0100514A01006F280001002DF00100000017800000000000000000000000000000000000000F1000000F84D707118498FE5E84D707608498FE4F4A0600514A06005E4A06006F280001006F000100000017800000000000000000000000000000000000000B1000000F84A70A118498FE5E84A70A608498FE4F4A0700514A07006F28000100A7F00100000017800000000000000000</t>
  </si>
  <si>
    <t>000000000000000000000B1000000F84770D118498FE5E84770D608498FE4F4A0100514A01006F28000100B7F00100000017800000000000000000000000000000000000000F1000000F844710118498FE5E844710608498FE4F4A0600514A06005E4A06006F280001006F000100000017800000000000000000000000000000000000000B1000000F841713118498FE5E841713608498FE4F4A0700514A07006F28000100A7F00100000017800000000000000000000000000000000000000B1000000F84E715118498FE5E84E715608498FE4F4A0100514A01006F28000100B7F00100000017800000000000000000000000000000000000000F1000000F84B718118498FE5E84B718608498FE4F4A0600514A06005E4A06006F280001006F000100000017800000000000000000000000000000000000000B1000000F84871B118498FE5E84871B608498FE4F4A0700514A07006F28000100A7F00100000017000000000000000000000000000000000000000B1000000F849405118498FE5E849405608498FE4F4A0100514A01006F280001002DF00100000017800000000000000000000000000000000000000F1000000F846408118498FE5E846408608498FE4F4A0600514A06005E4A06006F280001006F000100000017800000000000000000000000000000000000000B1000000F84</t>
  </si>
  <si>
    <t>340B118498FE5E84340B608498FE4F4A0700514A07006F28000100A7F00100000017800000000000000000000000000000000000000B1000000F84040E118498FE5E84040E608498FE4F4A0100514A01006F28000100B7F00100000017800000000000000000000000000000000000000F1000000F84D410118498FE5E84D410608498FE4F4A0600514A06005E4A06006F280001006F000100000017800000000000000000000000000000000000000B1000000F84A413118498FE5E84A413608498FE4F4A0700514A07006F28000100A7F00100000017800000000000000000000000000000000000000B1000000F847416118498FE5E847416608498FE4F4A0100514A01006F28000100B7F00100000017800000000000000000000000000000000000000F1000000F844419118498FE5E844419608498FE4F4A0600514A06005E4A06006F280001006F000100000017800000000000000000000000000000000000000B1000000F84141C118498FE5E84141C608498FE4F4A0700514A07006F28000100A7F0010000000000010000000000000000000000000000000000001000000F84D002118498FE5E84D002608498FE020000002900010000000480010000000000000000000000000000000000001000000F84A005118498FE5E84A005608498FE020001002E00010000000282010000</t>
  </si>
  <si>
    <t>000000000000000000000000000000001000000F84700811844CFF5E84700860844CFF020002002E00010000000080010000000000000000000000000000000000001000000F84400B118498FE5E84400B608498FE020003002E00010000000480010000000000000000000000000000000000001000000F84100E118498FE5E84100E608498FE020004002E00010000000282010000000000000000000000000000000000001000000F84E01011844CFF5E84E01060844CFF020005002E00010000000080010000000000000000000000000000000000001000000F84B013118498FE5E84B013608498FE020006002E00010000000480010000000000000000000000000000000000001000000F848016118498FE5E848016608498FE020007002E00010000000282010000000000000000000000000000000000001000000F84501911844CFF5E84501960844CFF020008002E00010000000000010000000000000000000000000000000000001000000F849505118498FE5E849505608498FE020000002E00010000000004010300000000000000000000000000000000031000000F849505118498FE5E849505608498FE6F2800040000002E0001002E00010000000004010305000000000000000000000000000000031000000F84FD06118430FD5E84FD06608430FD6F2800060000002E</t>
  </si>
  <si>
    <t>0001002E0002002E00010000000004010305070000000000000000000000000000031000000F84FD06118430FD5E84FD06608430FD6F2800080000002E0001002E0002002E0003002E00010000000004010305070900000000000000000000000000031000000F8465081184C8FB5E8465086084C8FB6F28000A0000002E0001002E0002002E0003002E0004002E0001000000000401030507090B000000000000000000000000031000000F8465081184C8FB5E8465086084C8FB6F28000C0000002E0001002E0002002E0003002E0004002E0005002E0001000000000401030507090B0D0000000000000000000000031000000F84CD09118460FA5E84CD09608460FA6F28000E0000002E0001002E0002002E0003002E0004002E0005002E0006002E0001000000000401030507090B0D0F00000000000000000000031000000F84CD09118460FA5E84CD09608460FA6F2800100000002E0001002E0002002E0003002E0004002E0005002E0006002E0007002E0001000000000401030507090B0D0F11000000000000000000031000000F84350B1184F8F85E84350B6084F8F86F2800120000002E0001002E0002002E0003002E0004002E0005002E0006002E0007002E0008002E000100000017000000000000000000000000000000000000000B1000000F84D002118498FE5E84D00260</t>
  </si>
  <si>
    <t>8498FE4F4A0700514A07006F28000100A7F00100000017800000000000000000000000000000000000000F1000000F84A005118498FE5E84A005608498FE4F4A0600514A06005E4A06006F280001006F000100000017800000000000000000000000000000000000000B1000000F847008118498FE5E847008608498FE4F4A0700514A07006F28000100A7F00100000017800000000000000000000000000000000000000B1000000F84400B118498FE5E84400B608498FE4F4A0100514A01006F28000100B7F00100000017800000000000000000000000000000000000000F1000000F84100E118498FE5E84100E608498FE4F4A0600514A06005E4A06006F280001006F000100000017800000000000000000000000000000000000000B1000000F84E010118498FE5E84E010608498FE4F4A0700514A07006F28000100A7F00100000017800000000000000000000000000000000000000B1000000F84B013118498FE5E84B013608498FE4F4A0100514A01006F28000100B7F00100000017800000000000000000000000000000000000000F1000000F848016118498FE5E848016608498FE4F4A0600514A06005E4A06006F280001006F000100000017800000000000000000000000000000000000000B1000000F845019118498FE5E845019608498FE4F4A0700514A07006F28000100</t>
  </si>
  <si>
    <t>A7F0010000000000010000000000000000000000000000000000031000000F842D04118498FE5E842D04608498FE6F2800020000002900010000000480010000000000000000000000000000000000001000000F84A005118498FE5E84A005608498FE020001002E00010000000282010000000000000000000000000000000000001000000F84700811844CFF5E84700860844CFF020002002E00010000000080010000000000000000000000000000000000001000000F84400B118498FE5E84400B608498FE020003002E00010000000480010000000000000000000000000000000000001000000F84100E118498FE5E84100E608498FE020004002E00010000000282010000000000000000000000000000000000001000000F84E01011844CFF5E84E01060844CFF020005002E00010000000080010000000000000000000000000000000000001000000F84B013118498FE5E84B013608498FE020006002E00010000000480010000000000000000000000000000000000001000000F848016118498FE5E848016608498FE020007002E00010000000282010000000000000000000000000000000000001000000F84501911844CFF5E84501960844CFF020008002E000100000017000000000000000000000000000000000000000B1000000F84D002118498FE5E84D002608498FE4F</t>
  </si>
  <si>
    <t>4A0100514A01006F28000100B7F00100000017800000000000000000000000000000000000000F1000000F84A005118498FE5E84A005608498FE4F4A0600514A06005E4A06006F280001006F000100000017800000000000000000000000000000000000000B1000000F847008118498FE5E847008608498FE4F4A0700514A07006F28000100A7F00100000017800000000000000000000000000000000000000B1000000F84400B118498FE5E84400B608498FE4F4A0100514A01006F28000100B7F00100000017800000000000000000000000000000000000000F1000000F84100E118498FE5E84100E608498FE4F4A0600514A06005E4A06006F280001006F000100000017800000000000000000000000000000000000000B1000000F84E010118498FE5E84E010608498FE4F4A0700514A07006F28000100A7F00100000017800000000000000000000000000000000000000B1000000F84B013118498FE5E84B013608498FE4F4A0100514A01006F28000100B7F00100000017800000000000000000000000000000000000000F1000000F848016118498FE5E848016608498FE4F4A0600514A06005E4A06006F280001006F000100000017800000000000000000000000000000000000000B1000000F845019118498FE5E845019608498FE4F4A0700514A07006F28000100A7F00100</t>
  </si>
  <si>
    <t>00000000010000000000000000000000000000000000001000000F84A005118498FE5E84A005608498FE020000002E00010000000000010000000000000000000000000000000000031000000F847008118498FE5E847008608498FE6F2800040001002E0031002E00010000000282010000000000000000000000000000000000001000000F84400B11844CFF5E84400B60844CFF020002002E00010000000080010000000000000000000000000000000000001000000F84100E118498FE5E84100E608498FE020003002E00010000000480010000000000000000000000000000000000001000000F84E010118498FE5E84E010608498FE020004002E00010000000282010000000000000000000000000000000000001000000F84B01311844CFF5E84B01360844CFF020005002E00010000000080010000000000000000000000000000000000001000000F848016118498FE5E848016608498FE020006002E00010000000480010000000000000000000000000000000000001000000F845019118498FE5E845019608498FE020007002E00010000000282010000000000000000000000000000000000001000000F84201C11844CFF5E84201C60844CFF020008002E00010000000000010000000000000000000000000000000000031000000F84D002118498FE5E84D002608498FE6F</t>
  </si>
  <si>
    <t>2800020000002900010000000400010000000000000000000000000000000000001000000F84A005118498FE5E84A005608498FE020001002E00010000000282010000000000000000000000000000000000001000000F84700811844CFF5E84700860844CFF020002002E00010000000080010000000000000000000000000000000000001000000F84400B118498FE5E84400B608498FE020003002E00010000000480010000000000000000000000000000000000001000000F84100E118498FE5E84100E608498FE020004002E00010000000282010000000000000000000000000000000000001000000F84E01011844CFF5E84E01060844CFF020005002E00010000000080010000000000000000000000000000000000001000000F84B013118498FE5E84B013608498FE020006002E00010000000480010000000000000000000000000000000000001000000F848016118498FE5E848016608498FE020007002E00010000000282010000000000000000000000000000000000001000000F84501911844CFF5E84501960844CFF020008002E00010000000000010000000000000000000000000000000000031000000F842D04118498FE5E842D04608498FE6F2800020000002E00010000000480010000000000000000000000000000000000001000000F84FD06118498FE5E84FD</t>
  </si>
  <si>
    <t>06608498FE020001002E00010000000282010000000000000000000000000000000000001000000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84DD17608498FE020007002E00010000000282010000000000000000000000000000000000001000000F84AD1A11844CFF5E84AD1A60844CFF020008002E000100000017000000000000000000000000000000000000000B1000000F840705118498FE5E840705608498FE4F4A0100514A01006F280001002DF00100000017800000000000000000000000000000000000000F1000000F84D707118498FE5E84D707608498FE4F4A0600514A06005E4A06006F280001006F000100000017800000000000000000000000</t>
  </si>
  <si>
    <t>000000000000000B1000000F84A70A118498FE5E84A70A608498FE4F4A0700514A07006F28000100A7F00100000017800000000000000000000000000000000000000B1000000F84770D118498FE5E84770D608498FE4F4A0100514A01006F28000100B7F00100000017800000000000000000000000000000000000000F1000000F844710118498FE5E844710608498FE4F4A0600514A06005E4A06006F280001006F000100000017800000000000000000000000000000000000000B1000000F841713118498FE5E841713608498FE4F4A0700514A07006F28000100A7F00100000017800000000000000000000000000000000000000B1000000F84E715118498FE5E84E715608498FE4F4A0100514A01006F28000100B7F00100000017800000000000000000000000000000000000000F1000000F84B718118498FE5E84B718608498FE4F4A0600514A06005E4A06006F280001006F000100000017800000000000000000000000000000000000000B1000000F84871B118498FE5E84871B608498FE4F4A0700514A07006F28000100A7F0010000000000010000000000000000000000000000000000031000000F84BB04118498FE5E84BB04608498FE6F2800020000002900010000000480010000000000000000000000000000000000001000000F842E06118498FE5E842E06608498</t>
  </si>
  <si>
    <t>FE020001002E00010000000282010000000000000000000000000000000000001000000F84FE0811844CFF5E84FE0860844CFF020002002E00010000000080010000000000000000000000000000000000001000000F84CE0B118498FE5E84CE0B608498FE020003002E00010000000480010000000000000000000000000000000000001000000F849E0E118498FE5E849E0E608498FE020004002E00010000000282010000000000000000000000000000000000001000000F846E1111844CFF5E846E1160844CFF020005002E00010000000080010000000000000000000000000000000000001000000F843E14118498FE5E843E14608498FE020006002E00010000000480010000000000000000000000000000000000001000000F840E17118498FE5E840E17608498FE020007002E00010000000282010000000000000000000000000000000000001000000F84DE1911844CFF5E84DE1960844CFF020008002E00010000000000010000000000000000000000000000000000031000000F840000118400005E840000608400006F2800020000002E00010000000000010300000000000000020000000000000000031000000F840000118400005E840000608400006F2800030000002E000100010000000000010305000000000000020000000000000000031000000F840000118400</t>
  </si>
  <si>
    <t>005E840000608400006F2800050000002E0001002E000200010000000000010305070000000000020000000000000000031000000F840000118400005E840000608400006F2800070001002E0000002E0002002E000300010000000000010305070900000000020000000000000000031000000F840000118400005E840000608400006F2800090000002E0003002E0002002E0001002E00040001000000000001030507090B000000020000000000000000031000000F840000118400005E840000608400006F28000B0005002E0004002E0003002E0002002E0001002E000000010000000000010000000000000000000000000000000000031800000F84D809118498FE15C6050001D809065E84D809608498FE6F280001000600010000000000010000000000000000000000000000000000031800000F84400B118498FE15C6050001400B065E84400B608498FE6F280001000700010000000000010000000000000000000000000000000000031800000F84A80C118498FE15C6050001A80C065E84A80C608498FE6F280001000800010000000000010000000000000000000000000000000000031000000F842D04118498FE5E842D04608498FE6F2800020000002900010000000480010000000000000000000000000000000000001000000F84FD06118498FE5E84FD06608498FE02</t>
  </si>
  <si>
    <t>0001002E00010000000282010000000000000000000000000000000000001000000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84DD17608498FE020007002E00010000000282010000000000000000000000000000000000001000000F84AD1A11844CFF5E84AD1A60844CFF020008002E00010000000000010000000000000000000000000000000000001000000F846801118498FE5E846801608498FE020000002E00010000000000010300000000000000000000000000000000001000000F841803118450FE5E841803608450FE040000002E0001002E00010000000000010305000000000000000000000000000000001000000F84C804118408FE5E84C80460</t>
  </si>
  <si>
    <t>8408FE060000002E0001002E0002002E00010000000000010305070000000000000000000000000000001000000F84C006118478FD5E84C006608478FD080000002E0001002E0002002E0003002E00010000000000010305070900000000000000000000000000001000000F84B8081184E8FC5E84B8086084E8FC0A0000002E0001002E0002002E0003002E0004002E0001000000000001030507090B000000000000000000000000001000000F84B00A118458FC5E84B00A608458FC0C0000002E0001002E0002002E0003002E0004002E0005002E0001000000000001030507090B0D0000000000000000000000001000000F84A80C1184C8FB5E84A80C6084C8FB0E0000002E0001002E0002002E0003002E0004002E0005002E0006002E0001000000000001030507090B0D0F00000000000000000000001000000F84A00E118438FB5E84A00E608438FB100000002E0001002E0002002E0003002E0004002E0005002E0006002E0007002E0001000000000001030507090B0D0F11000000000000000000001000000F84E010118460FA5E84E010608460FA120000002E0001002E0002002E0003002E0004002E0005002E0006002E0007002E0008002E00010000000000010000000000000000000000000000000000031000000F84A40111845CFE5E84A40160845CFE6F280002000000</t>
  </si>
  <si>
    <t>2E00010000000000010300000000000000000000000000000000031000000F84A40111845CFE5E84A40160845CFE6F2800040000002E0001002E00010000000000010305000000000000000000000000000000031000000F84D002118430FD5E84D002608430FD6F2800060000002E0001002E0002002E00010000000000010305070000000000000000000000000000031000000F84D002118430FD5E84D002608430FD6F2800080000002E0001002E0002002E0003002E00010000000000010305070900000000000000000000000000031000000F8438041184C8FB5E8438046084C8FB6F28000A0000002E0001002E0002002E0003002E0004002E0001000000000001030507090B000000000000000000000000031000000F8438041184C8FB5E8438046084C8FB6F28000C0000002E0001002E0002002E0003002E0004002E0005002E0001000000000001030507090B0D0000000000000000000000031000000F84A005118460FA5E84A005608460FA6F28000E0000002E0001002E0002002E0003002E0004002E0005002E0006002E0001000000000001030507090B0D0F00000000000000000000031000000F84A005118460FA5E84A005608460FA6F2800100000002E0001002E0002002E0003002E0004002E0005002E0006002E0007002E0001000000000001030507090B0D0F11</t>
  </si>
  <si>
    <t>000000000000000000031000000F8408071184F8F85E8408076084F8F86F2800120000002E0001002E0002002E0003002E0004002E0005002E0006002E0007002E0008002E00010000000000010000000000000000000000000000000000031000000F849505118498FE5E849505608498FE6F2800020000002E00010000000480010000000000000000000000000000000000001000000F846508118498FE5E846508608498FE020001002E00010000000282010000000000000000000000000000000000001000000F84350B11844CFF5E84350B60844CFF020002002E00010000000080010000000000000000000000000000000000001000000F84050E118498FE5E84050E608498FE020003002E00010000000480010000000000000000000000000000000000001000000F84D510118498FE5E84D510608498FE020004002E00010000000282010000000000000000000000000000000000001000000F84A51311844CFF5E84A51360844CFF020005002E00010000000080010000000000000000000000000000000000001000000F847516118498FE5E847516608498FE020006002E00010000000480010000000000000000000000000000000000001000000F844519118498FE5E844519608498FE020007002E00010000000282010000000000000000000000000000000000001000</t>
  </si>
  <si>
    <t>000F84151C11844CFF5E84151C60844CFF020008002E00010000000000010000000000000000000000000000000000101000000F84D002118498FE5E84D002608498FE4F4A0000504A0000514A00005E4A0000020000002900010000000480010000000000000000000000000000000000001000000F84A005118498FE5E84A005608498FE020001002E00010000000282010000000000000000000000000000000000001000000F84700811844CFF5E84700860844CFF020002002E00010000000080010000000000000000000000000000000000001000000F84400B118498FE5E84400B608498FE020003002E00010000000480010000000000000000000000000000000000001000000F84100E118498FE5E84100E608498FE020004002E00010000000282010000000000000000000000000000000000001000000F84E01011844CFF5E84E01060844CFF020005002E00010000000080010000000000000000000000000000000000001000000F84B013118498FE5E84B013608498FE020006002E00010000000480010000000000000000000000000000000000001000000F848016118498FE5E848016608498FE020007002E00010000000282010000000000000000000000000000000000001000000F84501911844CFF5E84501960844CFF020008002E000100000000000100000000</t>
  </si>
  <si>
    <t>00000000000000000000000000071000000F843804118498FE5E843804608498FE5E4A00006F2800020000002E00010000000400010000000000000000000000000000000000001000000F840807118498FE5E840807608498FE020001002E00010000000282010000000000000000000000000000000000001000000F84D80911844CFF5E84D80960844CFF020002002E00010000000080010000000000000000000000000000000000001000000F84A80C118498FE5E84A80C608498FE020003002E00010000000480010000000000000000000000000000000000001000000F84780F118498FE5E84780F608498FE020004002E00010000000282010000000000000000000000000000000000001000000F84481211844CFF5E84481260844CFF020005002E00010000000080010000000000000000000000000000000000001000000F841815118498FE5E841815608498FE020006002E00010000000480010000000000000000000000000000000000001000000F84E817118498FE5E84E817608498FE020007002E00010000000282010000000000000000000000000000000000001000000F84B81A11844CFF5E84B81A60844CFF020008002E00010000000000010000000000000000000000000000000000001000000F846801118498FE5E846801608498FE020000002E0001000000</t>
  </si>
  <si>
    <t>0000010300000000000000000000000000000000001000000F841803118450FE5E841803608450FE040000002E0001002E00010000000000010305000000000000000000000000000000001000000F84C804118408FE5E84C804608408FE060000002E0001002E0002002E00010000000000010305070000000000000000000000000000001000000F84C006118478FD5E84C006608478FD080000002E0001002E0002002E0003002E00010000000000010305070900000000000000000000000000001000000F84B8081184E8FC5E84B8086084E8FC0A0000002E0001002E0002002E0003002E0004002E0001000000000001030507090B000000000000000000000000001000000F84B00A118458FC5E84B00A608458FC0C0000002E0001002E0002002E0003002E0004002E0005002E0001000000000001030507090B0D0000000000000000000000001000000F84A80C1184C8FB5E84A80C6084C8FB0E0000002E0001002E0002002E0003002E0004002E0005002E0006002E0001000000000001030507090B0D0F00000000000000000000001000000F84A00E118438FB5E84A00E608438FB100000002E0001002E0002002E0003002E0004002E0005002E0006002E0007002E0001000000000001030507090B0D0F11000000000000000000001000000F84E010118460FA5E84E0106084</t>
  </si>
  <si>
    <t>60FA120000002E0001002E0002002E0003002E0004002E0005002E0006002E0007002E0008002E00010000000000010000000000000000000000000000000000031000000F843804118498FE5E843804608498FE6F2800020000002E00070000000004010300000000000000000000000000000000031000000F843804118498FE5E843804608498FE6F2800040000002E0001002E00010000000004010305000000000000000000000000000000031000000F84A005118430FD5E84A005608430FD6F2800060000002E0001002E0002002E00010000000004010305070000000000000000000000000000031000000F84A005118430FD5E84A005608430FD6F2800080000002E0001002E0002002E0003002E00010000000004010305070900000000000000000000000000031000000F8408071184C8FB5E8408076084C8FB6F28000A0000002E0001002E0002002E0003002E0004002E0001000000000401030507090B000000000000000000000000031000000F8408071184C8FB5E8408076084C8FB6F28000C0000002E0001002E0002002E0003002E0004002E0005002E0001000000000401030507090B0D0000000000000000000000031000000F847008118460FA5E847008608460FA6F28000E0000002E0001002E0002002E0003002E0004002E0005002E0006002E000100000000</t>
  </si>
  <si>
    <t>0401030507090B0D0F00000000000000000000031000000F847008118460FA5E847008608460FA6F2800100000002E0001002E0002002E0003002E0004002E0005002E0006002E0007002E0001000000000401030507090B0D0F11000000000000000000031000000F84D8091184F8F85E84D8096084F8F86F2800120000002E0001002E0002002E0003002E0004002E0005002E0006002E0007002E0008002E00010000000000010000000000000000000000000000000000031000000F84D002118498FE5E84D002608498FE6F2800020000002E00010000000004010300000000000000000000000000000000031000000F849F03118498FE5E849F03608498FE6F2800040000002E0001002E00010000000004010305000000000000000000000000000000031000000F842306118430FD5E842306608430FD6F2800060000002E0001002E0002002E00010000000004010305070000000000000000000000000000031000000F84A506118430FD5E84A506608430FD6F2800080000002E0001002E0002002E0003002E00010000000004010305070900000000000000000000000000031000000F84DC081184C8FB5E84DC086084C8FB6F28000A0000002E0001002E0002002E0003002E0004002E0001000000000401030507090B000000000000000000000000031000000F84AB091184</t>
  </si>
  <si>
    <t>C8FB5E84AB096084C8FB6F28000C0000002E0001002E0002002E0003002E0004002E0005002E0001000000000401030507090B0D0000000000000000000000031000000F84E20B118460FA5E84E20B608460FA6F28000E0000002E0001002E0002002E0003002E0004002E0005002E0006002E0001000000000401030507090B0D0F00000000000000000000031000000F84B10C118460FA5E84B10C608460FA6F2800100000002E0001002E0002002E0003002E0004002E0005002E0006002E0007002E0001000000000401030507090B0D0F11000000000000000000031000000F84E80E1184F8F85E84E80E6084F8F86F2800120000002E0001002E0002002E0003002E0004002E0005002E0006002E0007002E0008002E00010000000000010000000000000000000000000000000000001000000F846801118498FE5E846801608498FE020000002E00010000000000010300000000000000000000000000000000001000000F841803118450FE5E841803608450FE040000002E0001002E00010000000000010305000000000000000000000000000000001000000F84C804118408FE5E84C804608408FE060000002E0001002E0002002E00010000000000010305070000000000000000000000000000001000000F84C006118478FD5E84C006608478FD080000002E0001002E000200</t>
  </si>
  <si>
    <t>2E0003002E00010000000000010305070900000000000000000000000000001000000F84B8081184E8FC5E84B8086084E8FC0A0000002E0001002E0002002E0003002E0004002E0001000000000001030507090B000000000000000000000000001000000F84B00A118458FC5E84B00A608458FC0C0000002E0001002E0002002E0003002E0004002E0005002E0001000000000001030507090B0D0000000000000000000000001000000F84A80C1184C8FB5E84A80C6084C8FB0E0000002E0001002E0002002E0003002E0004002E0005002E0006002E0001000000000001030507090B0D0F00000000000000000000001000000F84A00E118438FB5E84A00E608438FB100000002E0001002E0002002E0003002E0004002E0005002E0006002E0007002E0001000000000001030507090B0D0F11000000000000000000001000000F84E010118460FA5E84E010608460FA120000002E0001002E0002002E0003002E0004002E0005002E0006002E0007002E0008002E00010000000000010000000000000000000000000000000000031000000F842D04118498FE5E842D04608498FE6F2800020000002900010000000480010000000000000000000000000000000000001000000F84FD06118498FE5E84FD06608498FE020001002E00010000000282010000000000000000000000000000</t>
  </si>
  <si>
    <t>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84DD17608498FE020007002E00010000000282010000000000000000000000000000000000001000000F84AD1A11844CFF5E84AD1A60844CFF020008002E00010000000000010000000000000000000000000000000000031000000F842D04118498FE5E842D04608498FE6F2800020000002900010000000480010000000000000000000000000000000000001000000F84FD06118498FE5E84FD06608498FE020001002E00010000000282010000000000000000000000000000000000001000000F84CD0911844CFF5E84CD0960844CFF020002002E00010000000080010000000000000000000000</t>
  </si>
  <si>
    <t>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84DD17608498FE020007002E00010000000282010000000000000000000000000000000000001000000F84AD1A11844CFF5E84AD1A60844CFF020008002E00010000000000010000000000000000000000000000000000031000000F84A40111845CFE5E84A40160845CFE6F2800020000002E00010000000000010300000000000000000000000000000000031000000F84A40111845CFE5E84A40160845CFE6F2800040000002E0001002E00010000000000010305000000000000000000000000000000031000000F84D002118430FD5E84D002608430FD6F2800060000002E0001002E0002002E00010000000000010305070000000000000000000000000000031000000F84D002118430FD5E84D002608430FD6F2800</t>
  </si>
  <si>
    <t>080000002E0001002E0002002E0003002E00010000000000010305070900000000000000000000000000031000000F8438041184C8FB5E8438046084C8FB6F28000A0000002E0001002E0002002E0003002E0004002E0001000000000001030507090B000000000000000000000000031000000F8438041184C8FB5E8438046084C8FB6F28000C0000002E0001002E0002002E0003002E0004002E0005002E0001000000000001030507090B0D0000000000000000000000031000000F84A005118460FA5E84A005608460FA6F28000E0000002E0001002E0002002E0003002E0004002E0005002E0006002E0001000000000001030507090B0D0F00000000000000000000031000000F84A005118460FA5E84A005608460FA6F2800100000002E0001002E0002002E0003002E0004002E0005002E0006002E0007002E0001000000000001030507090B0D0F11000000000000000000031000000F8408071184F8F85E8408076084F8F86F2800120000002E0001002E0002002E0003002E0004002E0005002E0006002E0007002E0008002E00010000000000010000000000000000000000000000000000031000000F84D002118498FE5E84D002608498FE6F2800020000002E00010000000004010300000000000000000000000000000000031000000F843804118498FE5E843804608498FE</t>
  </si>
  <si>
    <t>6F2800040000002E0001002E00010000000004010305000000000000000000000000000000031000000F840807118430FD5E840807608430FD6F2800060000002E0001002E0002002E00010000000004010305070000000000000000000000000000031000000F847008118430FD5E847008608430FD6F2800080000002E0001002E0002002E0003002E00010000000004010305070900000000000000000000000000031000000F84400B1184C8FB5E84400B6084C8FB6F28000A0000002E0001002E0002002E0003002E0004002E0001000000000401030507090B000000000000000000000000031000000F84A80C1184C8FB5E84A80C6084C8FB6F28000C0000002E0001002E0002002E0003002E0004002E0005002E0001000000000401030507090B0D0000000000000000000000031000000F84780F118460FA5E84780F608460FA6F28000E0000002E0001002E0002002E0003002E0004002E0005002E0006002E0001000000000401030507090B0D0F00000000000000000000031000000F84E010118460FA5E84E010608460FA6F2800100000002E0001002E0002002E0003002E0004002E0005002E0006002E0007002E0001000000000401030507090B0D0F11000000000000000000031000000F84B0131184F8F85E84B0136084F8F86F2800120000002E0001002E0002002E00</t>
  </si>
  <si>
    <t>03002E0004002E0005002E0006002E0007002E0008002E00010000000000010000000000000000000000000000000000031000000F842D04118498FE5E842D04608498FE6F2800020000002E00010000000480010000000000000000000000000000000000001000000F84FD06118498FE5E84FD06608498FE020001002E00010000000282010000000000000000000000000000000000001000000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84DD17608498FE020007002E00010000000282010000000000000000000000000000000000001000000F84AD1A11844CFF5E84AD1A60844CFF020008002E000100000000000100000000000000000000000000000000</t>
  </si>
  <si>
    <t>00031000000F842D04118498FE5E842D04608498FE6F2800020000002900010000000480010000000000000000000000000000000000001000000F84A005118498FE5E84A005608498FE020001002E00010000000282010000000000000000000000000000000000001000000F84700811844CFF5E84700860844CFF020002002E00010000000080010000000000000000000000000000000000001000000F84400B118498FE5E84400B608498FE020003002E00010000000480010000000000000000000000000000000000001000000F84100E118498FE5E84100E608498FE020004002E00010000000282010000000000000000000000000000000000001000000F84E01011844CFF5E84E01060844CFF020005002E00010000000080010000000000000000000000000000000000001000000F84B013118498FE5E84B013608498FE020006002E00010000000480010000000000000000000000000000000000001000000F848016118498FE5E848016608498FE020007002E00010000000282010000000000000000000000000000000000001000000F84501911844CFF5E84501960844CFF020008002E00010000000000010000000000000000000000000000000000071000000F84BB04118498FE5E84BB04608498FE5E4A00006F2800020000002E0001000000048001000000000000</t>
  </si>
  <si>
    <t>0000000000000000000000041000000F848B07118498FE5E848B07608498FE5E4A0000020001002E00010000000282010000000000000000000000000000000000041000000F845B0A11844CFF5E845B0A60844CFF5E4A0000020002002E00010000000080010000000000000000000000000000000000041000000F842B0D118498FE5E842B0D608498FE5E4A0000020003002E00010000000480010000000000000000000000000000000000041000000F84FB0F118498FE5E84FB0F608498FE5E4A0000020004002E00010000000282010000000000000000000000000000000000041000000F84CB1211844CFF5E84CB1260844CFF5E4A0000020005002E00010000000080010000000000000000000000000000000000041000000F849B15118498FE5E849B15608498FE5E4A0000020006002E00010000000480010000000000000000000000000000000000041000000F846B18118498FE5E846B18608498FE5E4A0000020007002E00010000000282010000000000000000000000000000000000041000000F843B1B11844CFF5E843B1B60844CFF5E4A0000020008002E000100000017080000000000000000000000000000000000001E1800000F842F011184390015C60500016801065E842F0160843900350800360800422A00434A18004F4A0700514A07006F28007068000000</t>
  </si>
  <si>
    <t>FF0100A7F00100000017800000000000000000000000000000000000000F1800000F84A005118498FE15C6050001A005065E84A005608498FE4F4A0600514A06005E4A06006F280001006F000100000017800000000000000000000000000000000000000B1800000F847008118498FE15C60500017008065E847008608498FE4F4A0700514A07006F28000100A7F00100000017800000000000000000000000000000000000000B1800000F84400B118498FE15C6050001400B065E84400B608498FE4F4A0100514A01006F28000100B7F00100000017800000000000000000000000000000000000000F1800000F84100E118498FE15C6050001100E065E84100E608498FE4F4A0600514A06005E4A06006F280001006F000100000017800000000000000000000000000000000000000B1800000F84E010118498FE15C6050001E010065E84E010608498FE4F4A0700514A07006F28000100A7F00100000017800000000000000000000000000000000000000B1800000F84B013118498FE15C6050001B013065E84B013608498FE4F4A0100514A01006F28000100B7F00100000017800000000000000000000000000000000000000F1800000F848016118498FE15C60500018016065E848016608498FE4F4A0600514A06005E4A06006F280001006F000100000017800000000000000000</t>
  </si>
  <si>
    <t>000000000000000000000B1800000F845019118498FE15C60500015019065E845019608498FE4F4A0700514A07006F28000100A7F0010000000000010000000000000000000000000000000000001000000F846801118498FE5E846801608498FE020000002E00010000000000010300000000000000000000000000000000001000000F841803118450FE5E841803608450FE040000002E0001002E00010000000000010305000000000000000000000000000000001000000F84C804118408FE5E84C804608408FE060000002E0001002E0002002E00010000000000010305070000000000000000000000000000001000000F84C006118478FD5E84C006608478FD080000002E0001002E0002002E0003002E00010000000000010305070900000000000000000000000000001000000F84B8081184E8FC5E84B8086084E8FC0A0000002E0001002E0002002E0003002E0004002E0001000000000001030507090B000000000000000000000000001000000F84B00A118458FC5E84B00A608458FC0C0000002E0001002E0002002E0003002E0004002E0005002E0001000000000001030507090B0D0000000000000000000000001000000F84A80C1184C8FB5E84A80C6084C8FB0E0000002E0001002E0002002E0003002E0004002E0005002E0006002E0001000000000001030507090B0D</t>
  </si>
  <si>
    <t>0F00000000000000000000001000000F84A00E118438FB5E84A00E608438FB100000002E0001002E0002002E0003002E0004002E0005002E0006002E0007002E0001000000000001030507090B0D0F11000000000000000000001000000F84E010118460FA5E84E010608460FA120000002E0001002E0002002E0003002E0004002E0005002E0006002E0007002E0008002E00010000000000010000000000000000000000000000000000301800000F8400001184000015C60500016801065E840000608400003508013608003708003808003908003B08013C0800434A1800482A004F4A0000514A0000532A005408005808006F2800020000002E00010000000000010300000000000000000000000000000000301800000F8476021184000015C6050001DE03065E847602608400003508013608003708003808003908003B08003C0800434A1800482A004F4A0000514A0000532A005408005808006F2800040000002E0001002E00010000000000010305000000000000000000000000000000361800000F8476021184000015C60500014605065E847602608400003508003608003708003908003B08003C0800422A00434A1800482A004F4A0000514A0000532A005408005808006F28007068000000FF060000002E0001002E0002002E000100000000000103050700000000000000</t>
  </si>
  <si>
    <t>00000000000000031800000F84C006118478FD15C60500010807065E84C006608478FD6F2800080000002E0001002E0002002E0003002E00010000000000010305070900000000000000000000000000031800000F84B8081184E8FC15C6050001D809065E84B8086084E8FC6F28000A0000002E0001002E0002002E0003002E0004002E0001000000000001030507090B000000000000000000000000031800000F84B00A118458FC15C6050001400B065E84B00A608458FC6F28000C0000002E0001002E0002002E0003002E0004002E0005002E0001000000000001030507090B0D0000000000000000000000031800000F84A80C1184C8FB15C6050001100E065E84A80C6084C8FB6F28000E0000002E0001002E0002002E0003002E0004002E0005002E0006002E0001000000000001030507090B0D0F00000000000000000000031800000F84A00E118438FB15C6050001780F065E84A00E608438FB6F2800100000002E0001002E0002002E0003002E0004002E0005002E0006002E0007002E0001000000000001030507090B0D0F11000000000000000000031800000F84E010118460FA15C60500014812065E84E010608460FA6F2800120000002E0001002E0002002E0003002E0004002E0005002E0006002E0007002E0008002E0001000000000001000000000000000000000000</t>
  </si>
  <si>
    <t>0000000000031000000F842D04118498FE5E842D04608498FE6F2800020000002900010000000480010000000000000000000000000000000000001000000F84FD06118498FE5E84FD06608498FE020001002E00010000000282010000000000000000000000000000000000001000000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84DD17608498FE020007002E00010000000282010000000000000000000000000000000000001000000F84AD1A11844CFF5E84AD1A60844CFF020008002E00010000000000010000000000000000000000000000000000031000000F84D002118498FE5E84D002608498FE6F280002000000290001000000048001000000000000</t>
  </si>
  <si>
    <t>0000000000000000000000001000000F84A005118498FE5E84A005608498FE020001002E00010000000282010000000000000000000000000000000000001000000F84700811844CFF5E84700860844CFF020002002E00010000000080010000000000000000000000000000000000001000000F84400B118498FE5E84400B608498FE020003002E00010000000480010000000000000000000000000000000000001000000F84100E118498FE5E84100E608498FE020004002E00010000000282010000000000000000000000000000000000001000000F84E01011844CFF5E84E01060844CFF020005002E00010000000080010000000000000000000000000000000000001000000F84B013118498FE5E84B013608498FE020006002E00010000000480010000000000000000000000000000000000001000000F848016118498FE5E848016608498FE020007002E00010000000282010000000000000000000000000000000000001000000F84501911844CFF5E84501960844CFF020008002E00010000000000010000000000000000000000000000000000031000000F842D04118498FE5E842D04608498FE6F2800020000002E00010000000480010000000000000000000000000000000000001000000F84FD06118498FE5E84FD06608498FE020001002E0001000000028201000000</t>
  </si>
  <si>
    <t>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84DD17608498FE020007002E00010000000282010000000000000000000000000000000000001000000F84AD1A11844CFF5E84AD1A60844CFF020008002E00010000000000010000000000000000000000000000000000001000000F84D002118498FE5E84D002608498FE020000002900010000000480010000000000000000000000000000000000001000000F84A005118498FE5E84A005608498FE020001002E00010000000282010000000000000000000000000000000000001000000F84700811844CFF5E84700860844CFF020002002E0001000000008001000000</t>
  </si>
  <si>
    <t>0000000000000000000000000000001000000F84400B118498FE5E84400B608498FE020003002E00010000000480010000000000000000000000000000000000001000000F84100E118498FE5E84100E608498FE020004002E00010000000282010000000000000000000000000000000000001000000F84E01011844CFF5E84E01060844CFF020005002E00010000000080010000000000000000000000000000000000001000000F84B013118498FE5E84B013608498FE020006002E00010000000480010000000000000000000000000000000000001000000F848016118498FE5E848016608498FE020007002E00010000000282010000000000000000000000000000000000001000000F84501911844CFF5E84501960844CFF020008002E000100000017000000000000000000000000000000000000000B1000000F84A005118498FE5E84A005608498FE4F4A0100514A01006F280001002DF00100000017800000000000000000000000000000000000000F1000000F847008118498FE5E847008608498FE4F4A0600514A06005E4A06006F280001006F000100000017800000000000000000000000000000000000000B1000000F84400B118498FE5E84400B608498FE4F4A0700514A07006F28000100A7F00100000017800000000000000000000000000000000000000B1000000F</t>
  </si>
  <si>
    <t>84100E118498FE5E84100E608498FE4F4A0100514A01006F28000100B7F00100000017800000000000000000000000000000000000000F1000000F84E010118498FE5E84E010608498FE4F4A0600514A06005E4A06006F280001006F000100000017800000000000000000000000000000000000000B1000000F84B013118498FE5E84B013608498FE4F4A0700514A07006F28000100A7F00100000017800000000000000000000000000000000000000B1000000F848016118498FE5E848016608498FE4F4A0100514A01006F28000100B7F00100000017800000000000000000000000000000000000000F1000000F845019118498FE5E845019608498FE4F4A0600514A06005E4A06006F280001006F000100000017800000000000000000000000000000000000000B1000000F84201C118498FE5E84201C608498FE4F4A0700514A07006F28000100A7F0010000000000010000000000000000000000000000000000101000000F84D002118498FE5E84D002608498FE4F4A0000504A0000514A00005E4A0000020000002900010000000480010000000000000000000000000000000000001000000F84A005118498FE5E84A005608498FE020001002E00010000000282010000000000000000000000000000000000001000000F84700811844CFF5E84700860844CFF020002002E0001</t>
  </si>
  <si>
    <t>0000000080010000000000000000000000000000000000001000000F84400B118498FE5E84400B608498FE020003002E00010000000480010000000000000000000000000000000000001000000F84100E118498FE5E84100E608498FE020004002E00010000000282010000000000000000000000000000000000001000000F84E01011844CFF5E84E01060844CFF020005002E00010000000080010000000000000000000000000000000000001000000F84B013118498FE5E84B013608498FE020006002E00010000000480010000000000000000000000000000000000001000000F848016118498FE5E848016608498FE020007002E00010000000282010000000000000000000000000000000000001000000F84501911844CFF5E84501960844CFF020008002E00010000000000010000000000000000000000000000000000031000000F842D04118498FE5E842D04608498FE6F2800020000002E00010000000480010000000000000000000000000000000000001000000F84FD06118498FE5E84FD06608498FE020001002E00010000000282010000000000000000000000000000000000001000000F84CD0911844CFF5E84CD0960844CFF020002002E00010000000080010000000000000000000000000000000000001000000F849D0C118498FE5E849D0C608498FE02000300</t>
  </si>
  <si>
    <t>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84DD17608498FE020007002E00010000000282010000000000000000000000000000000000001000000F84AD1A11844CFF5E84AD1A60844CFF020008002E00010000000000010000000000000000000000000000000000031000000F842C04118498FE5E842C04608498FE6F2800020000002E00010000000480010000000000000000000000000000000000001000000F84FC06118498FE5E84FC06608498FE020001002E00010000000282010000000000000000000000000000000000001000000F84CC0911844CFF5E84CC0960844CFF020002002E00010000000080010000000000000000000000000000000000001000000F849C0C118498FE5E849C0C608498FE020003002E00010000000480010000000000000000000000000000000000001000000F846C0F118498FE5E846C0F608498FE02</t>
  </si>
  <si>
    <t>0004002E00010000000282010000000000000000000000000000000000001000000F843C1211844CFF5E843C1260844CFF020005002E00010000000080010000000000000000000000000000000000001000000F840C15118498FE5E840C15608498FE020006002E00010000000480010000000000000000000000000000000000001000000F84DC17118498FE5E84DC17608498FE020007002E00010000000282010000000000000000000000000000000000001000000F84AC1A11844CFF5E84AC1A60844CFF020008002E00010000000000010000000000000000000000000000000000031000000F842D04118498FE5E842D04608498FE6F2800020000002E00010000000480010000000000000000000000000000000000001000000F84FD06118498FE5E84FD06608498FE020001002E00010000000282010000000000000000000000000000000000001000000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</t>
  </si>
  <si>
    <t>4CFF020005002E00010000000080010000000000000000000000000000000000001000000F840D15118498FE5E840D15608498FE020006002E00010000000480010000000000000000000000000000000000001000000F84DD17118498FE5E84DD17608498FE020007002E00010000000282010000000000000000000000000000000000001000000F84AD1A11844CFF5E84AD1A60844CFF020008002E000100000017000000000000000000000000000000000000000B1000000F840705118498FE5E840705608498FE4F4A0100514A01006F280001002DF00100000017800000000000000000000000000000000000000F1000000F84D707118498FE5E84D707608498FE4F4A0600514A06005E4A06006F280001006F000100000017800000000000000000000000000000000000000B1000000F84A70A118498FE5E84A70A608498FE4F4A0700514A07006F28000100A7F00100000017800000000000000000000000000000000000000B1000000F84770D118498FE5E84770D608498FE4F4A0100514A01006F28000100B7F00100000017800000000000000000000000000000000000000F1000000F844710118498FE5E844710608498FE4F4A0600514A06005E4A06006F280001006F000100000017800000000000000000000000000000000000000B1000000F841713118498FE5E8417</t>
  </si>
  <si>
    <t>13608498FE4F4A0700514A07006F28000100A7F00100000017800000000000000000000000000000000000000B1000000F84E715118498FE5E84E715608498FE4F4A0100514A01006F28000100B7F00100000017800000000000000000000000000000000000000F1000000F84B718118498FE5E84B718608498FE4F4A0600514A06005E4A06006F280001006F000100000017800000000000000000000000000000000000000B1000000F84871B118498FE5E84871B608498FE4F4A0700514A07006F28000100A7F0010000000000010000000000000000000000000000000000031000000F840000118400005E840000608400006F2800020000002E00010000000000010300000000000000020000000000000000031000000F840000118400005E840000608400006F2800030000002E000100010000000000010305000000000000020000000000000000031000000F840000118400005E840000608400006F2800050000002E0001002E000200010000000000010305070000000000020000000000000000031000000F840000118400005E840000608400006F2800070001002E0000002E0002002E000300010000000000010305070900000000020000000000000000031000000F840000118400005E840000608400006F2800090000002E0003002E0002002E0001002E0004000100</t>
  </si>
  <si>
    <t>0000000001030507090B000000020000000000000000031000000F840000118400005E840000608400006F28000B0005002E0004002E0003002E0002002E0001002E000000010000000000010000000000000000000000000000000000031800000F84D809118498FE15C6050001D809065E84D809608498FE6F280001000600010000000000010000000000000000000000000000000000031800000F84400B118498FE15C6050001400B065E84400B608498FE6F280001000700010000000000010000000000000000000000000000000000031800000F84A80C118498FE15C6050001A80C065E84A80C608498FE6F280001000800010000000000010000000000000000000000000000000000031000000F84BB04118498FE5E84BB04608498FE6F2800020000002E00010000000480010000000000000000000000000000000000001000000F848B07118498FE5E848B07608498FE020001002E00010000000282010000000000000000000000000000000000001000000F845B0A11844CFF5E845B0A60844CFF020002002E00010000000080010000000000000000000000000000000000001000000F842B0D118498FE5E842B0D608498FE020003002E00010000000480010000000000000000000000000000000000001000000F84FB0F118498FE5E84FB0F608498FE020004002E0001</t>
  </si>
  <si>
    <t>0000000282010000000000000000000000000000000000001000000F84CB1211844CFF5E84CB1260844CFF020005002E00010000000080010000000000000000000000000000000000001000000F849B15118498FE5E849B15608498FE020006002E00010000000480010000000000000000000000000000000000001000000F846B18118498FE5E846B18608498FE020007002E00010000000282010000000000000000000000000000000000001000000F843B1B11844CFF5E843B1B60844CFF020008002E00310000008B24343E000000000000000000000000594F6F1E000000000000000000000000934882190000000000000000000000008F22252D0000000000000000000000005442A05C00000000000000000000000076141E2600000000000000000000000078622629000000000000000000000000444C4978000000000000000000000000C712673B000000000000000000000000B70D3C2D00000000000000000000000018270429000000000000000000000000DB2097310000000000000000000000008857BA1F000000000000000000000000A108525C0000000000000000000000005D3B140B000000000000000000000000122B2E28000000000000000000000000173BB071000000000000000000000000857CD82D0000000000000000000000004B012E600000000000</t>
  </si>
  <si>
    <t>00000000000000D945B8250000000000000000000000009C2B364B000000000000000000000000EA7A081D000000000000000000000000D657F9470000000000000000000000002028E41F0000000000000000000000008161B572000000000000000000000000551025680000000000000000000000006251CA730000000000000000000000008E3EBC29000000000000000000000000AD41E11F0000000000000000000000000309247A0000000000000000000000000320DE4C000000000000000000000000DC5E2951000000000000000000000000BB5EAA09000000000000000000000000457CE9050000000000000000000000003377F42E0000000000000000000000008E0E1C19000000000000000000000000BD2F0376000000000000000000000000DD7BF921000000000000000000000000F6045A73000000000000000000000000F04A1A0A0000000000000000000000000036270A000000000000000000000000D71F7172000000000000000000000000D25F512C000000000000000000000000D86F5617000000000000000000000000F80BEB6A000000000000000000000000B160E205000000000000000000000000F31D5F39000000000000000000000000867AA162000000000000000000000000786F7539000000000000000000000000FFFFFFFFFFFFFFFFFFFFFFFFFF</t>
  </si>
  <si>
    <t>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310000000000000000000000000000000000000000000000000000000000000000000000000000000000000000000000000000000000000000000000000000000000000000000000000000000000000000000000000000000000000000000000000000000000FFFF310000001200CA5548D4190019041B0019040F001904190019041B0019040F001904190019041B00190400000000120011001904190019041B0019040F001904190019041B0019040F001904190019041B00190412008065204503001904050019040100190403001904050019040100190403001904050019041200206264D3D06214D3B0A5C654C07870F8AAA46CFA98073E9570C852B89663BA0B2C0044CC120011001904190019041B0019040F001904190019041B0019040F001904190019041B00190400001200050019040300190405</t>
  </si>
  <si>
    <t>001904010019040300190405001904010019040300190405001904120011001904190019041B0019040F001904190019041B0019040F001904190019041B00190412000100190403001904050019040100190403001904050019040100190403001904050019041200806520450300190405001904010019040300190405001904010019040300190405001904120011001904190019041B0019040F001904190019041B0019040F001904190019041B0019041200B8FF2A17190019041B0019040F001904190019041B0019040F001904190019041B0019041200806520450300190405001904010019040300190405001904010019040300190405001904120011001904190019041B0019040F001904190019041B0019040F001904190019041B001904000012008676F09A190019041B0019040F001904190019041B0019040F001904190019041B0019040000000012009068DE05190019041B0019040F001904190019041B0019040F001904190019041B00190412000CD5EC0B190019041B0019040F001904190019041B0019040F001904190019041B00190412007E73C664190019041B0019040F001904190019041B0019040F001904190019041B001904000000000000000012005AF46AD5190019041B0019040F001904190019041B0019040F001904190019041B001904120068</t>
  </si>
  <si>
    <t>A49CC8190019041B0019040F001904190019041B0019040F001904190019041B0019040000000012002A0318EF190019041B0019040F001904190019041B0019040F001904190019041B001904120011001904190019041B0019040F001904190019041B0019040F001904190019041B0019041200BCF1B242190019041B0019040F001904190019041B0019040F001904190019041B0019041200CEA226F6030019040500190401001904030019040500190401001904030019040500190400000000120011001904190019041B0019040F001904190019041B0019040F001904190019041B001904120011001904190019041B0019040F001904190019041B0019040F001904190019041B0019041200EAD1EA38190019041B0019040F001904190019041B0019040F001904190019041B001904120011001904190019041B0019040F001904190019041B0019040F001904190019041B00190412008065204503001904050019040100190403001904050019040100190403001904050019041200B644BA21190019041B0019040F001904190019041B0019040F001904190019041B0019041200661F1845190019041B0019040F001904190019041B0019040F001904190019041B0019041200946744F9190019041B0019040F001904190019041B0019040F001904190019041B00190412</t>
  </si>
  <si>
    <t>007AF17CFF190019041B0019040F001904190019041B0019040F001904190019041B001904120080652045030019040500190401001904030019040500190401001904030019040500190400001200741B1ED7190019041B0019040F001904190019041B0019040F001904190019041B0019040B005937C50700000000000000000001020002001C7F8C0C00000000000000000001020002001C06A11400000000000000000001020002008209DB1600000000000000000001020002002440B93900000000000000000001020002007D4B42480000000000000000000102000200FB5D835F00000000000000000001020002003F10D56000000000000000000001020002008B1E9E6500000000000000000001020002005D2BD16A0000000000000000000102000200BD086C7900000000000000000001020002006D0000000400000008000000E5000000000000000A000000C8000100A2150100D623030033400400C14905005C240B0094561800295A1F00891920009E7B2600303F270086692700D3102A000E7B2B00827830001966310078103200702D3600AA6736008C7A3A0013683E00B3263F0085693F006E6A4400417F470042454A00B9574A0048784A00D70C4B00C3494D00DF054E00E9414E002E134F003D445100A41454000138550085295A00CE745B00C70D5F00B26D630087</t>
  </si>
  <si>
    <t>7C63008A346600870567005A1C6B0034166F00C8227000E77C73003A2F75001444770009467B00AD2A7C00C0658000593281006A208900A1498C0028598D0086118E00387C8E00A6218F0027729100886793005F609700264299001D7E9A0087659B008F769D00AD779F00F821A3006615A400FC4EA400023BA800052AA9002E16AA00AF17AA009F1CAB009727AD006107B100C81BB700FA7CBE008E7DC600444FC700A170CA00CE62CB006666D000D71FD2002176D200D53ED6004F4DD6006B2CD800A679DB002F2EDF00CE75E1007A0DE500B970E5001C0AE6005D33E7009B0BEA00DD70EC00A171EE00C50EEF008F0BF000B349F000950EF200C304F600111BF600EE38F7002C4FFB008956FB007A02FF0000000000E1020000E30200000000000001000000FF4003800100E0020000E002000000386B0501000100E002000000000000E002000000000000021C0000000000000082010000E102000058000008000000005800001200000000FFFF01000000070055006E006B006E006F0077006E00FFFF0100080000000000000000000000FFFF010000000000FFFF00000200FFFF00000000FFFF00000200FFFF0000000009000000471E9001CC0002020603050405020304FF2A00E0417800C00900000000000000FF01000000000000540069006D006500730020004E00650077002000</t>
  </si>
  <si>
    <t>52006F006D0061006E000000351E9001020005050102010706020507000000000000001000000000000000000000008000000000530079006D0062006F006C000000332E9001CC00020B0604020202020204FF2A00E0437800C00900000000000000FF0100000000000041007200690061006C000000372E9001CC00020F0502020204030204FF0200E0FFAC004001000000000000009F01000000000000430061006C0069006200720069000000371E9001CC0002040503050406030204FF0200E0FF04004000000000000000009F01000000000000430061006D0062007200690061000000352E9001CC00020B0604030504040204FF2E00E15B6000C02900000000000000FF010100000000005400610068006F006D00610000003F3D9001CC0002070309020205020404FF2A00E0437800C00900000000000000FF0100000000000043006F007500720069006500720020004E006500770000003B0E9001020005000000000000000000000000000000001000000000000000000000008000000000570069006E006700640069006E00670073000000411E9001CC0002040503050406030204FF0200E0FF24004200000000000000009F01000000000000430061006D00620072006900610020004D006100740068000000220004007108881800F0C40200006801000000008D7A3A87877B</t>
  </si>
  <si>
    <t>3A87F35236670B00050000006E0000007302000002000100000004000390050000006E000000730200000200010000000500000000000000690300F0100000000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8A055303B400B400818132300000000000000000000000000000E0020000E002000000000000000000000000000000000000000000000000000000000000000000000000000000000000000000000000000000000000000000000000000002000000000000000000053B831100F010000800FCFD01000000000000000000</t>
  </si>
  <si>
    <t>0000000000000000000000000000000848580000000009F0FF0F000924500000E3040000FFFFFF7FFFFFFF7FFFFFFF7FFFFFFF7FFFFFFF7FFFFFFF7FFFFFFF7F2642990000060000320000000000000000000000000000000000000000002104000000000000000000000000000000000000101C00000800000000000000000078000000780000000000000000000000A0050000FFFF1200000000000000000000000000000008006B006100720070006F007600610061000D0053006800610072006900660075006C006C0069006E00410052000000000000000000000000000000000000000000D0000000060000003100000000000C0001000C0002000C0003000C0004000C0005000C0006000C0007000C0008000C0009000C000A000C000B000C000C000C000D000C000E000C000F000C0010000C0011000C0012000C0013000C0014000C0015000C0016000C0017000C0018000C0019000C001A000C001B000C001C000C001D000C001E000C001F000C0020000C0021000C0022000C0023000C0024000C0025000C0026000C0027000C0028000C0029000C002A000C002B000C002C000C002D000C002E000C002F000C0030000C00000000000000000000000000000000000000000000000000000000000000000000000000000000000000000000000000000000000000000000000000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</si>
  <si>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FEFF0000060102000000000000000000000000000000000001000000E0859FF2F94F6810AB9108002B27B3D93000000078010000110000000100000090000000020000009800000003000000A400000004000000B000000005000000C400000007000000D000000008000000E400000009000000FC00000012000000080100000A000000280100000B000000340100000C000000400100000D0000004C0100000E000000580100000F000000600100001000000068010000130000007001000002000000E30400001E00000004000000000000001E00000004000000000000001E000000</t>
  </si>
  <si>
    <t>0C0000006B6172706F766161000000001E00000004000000000000001E0000000C0000004E6F726D616C2E646F746D001E00000010000000536861726966756C6C696E41520000001E00000004000000313100001E000000180000004D6963726F736F6674204F666669636520576F726400000040000000005ED0B2000000004000000000E252CF49A3D00140000000005608290807D10140000000005286D92807D1010300000002000000030000006E0000000300000073020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</si>
  <si>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FEFF000006010200000000000000000000000000000000000100000002D5CDD59C2E1B10939708002B2CF9AE30000000EC0000000C00000001000000680000000F00000070000000050000007C0000000600000084000000110000008C00000017000000940000000B0000009C00000010000000A400000013000000AC00000016000000</t>
  </si>
  <si>
    <t>B40000000D000000BC0000000C000000C900000002000000E30400001E00000004000000485000000300000005000000030000000100000003000000E00200000300000000000C000B000000000000000B000000000000000B000000000000000B000000000000001E1000000100000001000000000C100000020000001E00000009000000CDE0E7E2E0EDE8E500030000000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</si>
  <si>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0000000200000003000000040000000500000006000000070000000800000009000000</t>
  </si>
  <si>
    <t>0A0000000B0000000C0000000D0000000E000000FEFFFFFF10000000110000001200000013000000140000001500000016000000FEFFFFFF18000000190000001A0000001B0000001C0000001D0000001E0000001F000000200000002100000022000000230000002400000025000000260000002700000028000000290000002A0000002B0000002C0000002D0000002E0000002F000000300000003100000032000000330000003400000035000000360000003700000038000000390000003A0000003B0000003C0000003D0000003E0000003F000000400000004100000042000000430000004400000045000000460000004700000048000000490000004A0000004B0000004C0000004D0000004E0000004F000000500000005100000052000000530000005400000055000000560000005700000058000000590000005A0000005B0000005C0000005D0000005E0000005F000000600000006100000062000000630000006400000065000000660000006700000068000000FEFFFFFF6A0000006B0000006C0000006D0000006E0000006F00000070000000FEFFFFFF72000000730000007400000075000000760000007700000078000000FEFFFFFFFDFFFFFF7B000000FEFFFFFFFEFFFFFFFEFFFFFFFFFFFFFFFFFFFFFF52006F006F007400200045006E0074007200790000000000</t>
  </si>
  <si>
    <t>0000000000000000000000000000000000000000000000000000000000000000000000000000000016000501FFFFFFFFFFFFFFFF030000000609020000000000C000000000000046000000000000000000000000C0B0C9F42807D1017D0000008000000000000000440061007400610000000000000000000000000000000000000000000000000000000000000000000000000000000000000000000000000000000000000000000A000201FFFFFFFFFFFFFFFFFFFFFFFF0000000000000000000000000000000000000000000000000000000000000000000000000F000000001000000000000031005400610062006C006500000000000000000000000000000000000000000000000000000000000000000000000000000000000000000000000000000000000E0002010100000006000000FFFFFFFF00000000000000000000000000000000000000000000000000000000000000000000000017000000B4A200000000000057006F007200640044006F00630075006D0065006E007400000000000000000000000000000000000000000000000000000000000000000000000000000000001A0002010200000005000000FFFFFFFF00000000000000000000000000000000000000000000000000000000000000000000000000000000341C0000000000000500530075006D006D006100</t>
  </si>
  <si>
    <t>7200790049006E0066006F0072006D006100740069006F006E00000000000000000000000000000000000000000000000000000028000201FFFFFFFFFFFFFFFFFFFFFFFF000000000000000000000000000000000000000000000000000000000000000000000000690000000010000000000000050044006F00630075006D0065006E007400530075006D006D0061007200790049006E0066006F0072006D006100740069006F006E00000000000000000000003800020104000000FFFFFFFFFFFFFFFF000000000000000000000000000000000000000000000000000000000000000000000000710000000010000000000000010043006F006D0070004F0062006A0000000000000000000000000000000000000000000000000000000000000000000000000000000000000000000000000012000200FFFFFFFFFFFFFFFFFFFFFFFF0000000000000000000000000000000000000000000000000000000000000000000000000000000079000000000000000000000000000000000000000000000000000000000000000000000000000000000000000000000000000000000000000000000000000000000000000000000000000000FFFFFFFFFFFFFFFFFFFFFFFF000000000000000000000000000000000000000000000000000000000000000000000000000000000000000000000000</t>
  </si>
  <si>
    <t>01000000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</t>
  </si>
  <si>
    <t>FFFFFFFFFFFFFFFFFFFFFFFF0100FEFF030A0000FFFFFFFF0609020000000000C00000000000004627000000C4EEEAF3ECE5EDF2204D6963726F736F6674204F666669636520576F72642039372D32303033000A0000004D53576F7264446F630010000000576F72642E446F63756D656E742E3800F439B27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</si>
  <si>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000000000000000000000000000000000000000000000000</t>
  </si>
  <si>
    <t>Otch_recept.doc</t>
  </si>
  <si>
    <t>3504440442044C042D0014043E0431044B0447043004BB0020000D005F005F005F005F005F005F005F005F005F005F005F005F005F005F005F005F005F005F005F005F0010042E0024042E0020002404350434043E0441043504350432040D00AB0020005F005F005F005F002000BB0020005F005F005F005F005F005F005F005F005F005F005F005F005F005F003200300031003500200033042E000D000D0007000D000D000D00070007002204200015042000250420001D0420001E0420001B0420001E04200013042000180420002704200015042000210420001A0420001804200019042000200020001F0420001B042000100420001D040D003F044004380433043E0442043E0432043B0435043D0438044F04200038043D0432043504400442043D043E042D004D043C0443043B044C04410438043E043D043D043E0433043E042000400430044104420432043E04400430040D003D043004200041043A0432043004360438043D043504200077006E0061006D006500200066006E0061006D00650020003C043504410442043E0440043E043604340435043D04380435040D000D000D0009001F043E0440044F0434043E043A0420003F044004380433043E0442043E0432043B0435043D0438044F04200031043B043E043A043804400443044E0449043504390420003F0430044704</t>
  </si>
  <si>
    <t>3A04380420003D0430042000200021043A0432043004360438043D0435042000200077006E0061006D0065002C0020002000200066006E0061006D00650020003C043504410442043E0440043E043604340435043D043804350420000D001F044004380433043E0442043E0432043B0435043D043804350420003F044004380420003D0430043B0438044704380438043A00200041043E043B044C0420002104300443006C0032002C0020004D043C0443043B044C043304300442043E0440042000AB002F043B0430043D042D002D043100BB002C00200034043504330430043704380440043E04320430043D043D0430044F0420003D043504440442044C04200028003F043E04340433043E0442043E0432043B0435043D043D0430044F0429002C0020003F044004350441043D0430044F04200032043E04340430042E000D001F044004380433043E0442043E0432043B0435043D0438043504200031043B043E043A042D003F04300447043A043804200041042000380441043F043E043B044C0437043E04320430043D04380435043C0420003D04300441043E0441043D043E0433043E042000300433044004350433043004420430042000260410042D003300320030000D001604130420003D04300420003E0441043D043E043204350420003E0431044004300442043D044B044504</t>
  </si>
  <si>
    <t>00434A18004F4A0000514A0000614A1800001C15681E71DB00166809467B00434A18004F4A0000514A0000614A1800000C15681E71DB00166809467B00001715681E71DB00166809467B00350881434A1C00614A1C001F15681E71DB00166809467B00350881434A1C004F4A0000514A0000614A1C000012000800001A0800001C0800001E080000A8080000D60800001C0900005A0900005C0900005E090000A6090000D4090000F3000000000000000000000000EA0000000000000000000000009A0000000000000000000000008900000000000000000000000089000000000000000000000000890000000000000000000000007400000000000000000000000074000000000000000000000000630000000000000000000000006300000000000000000000000063000000000000000000000000000000000000001100000324031264F000010014A4000016240149660100000061240367641C0AE6001500000324031184C5021264F000010014A400001624014966010000006084C502612403676409467B001100000324031264F000010014A40000162401496601000000612403676409467B00004F00006B640000000016240117240149660100000002966C0008D63000028E00D4120B150006461200000000000000000000000000000000000637020000000000000000000000</t>
  </si>
  <si>
    <t>000000000014F6037D1417F60300001AD608000000FF000000FF1BD608000000FF000000FF1CD608000000FF000000FF1DD608000000FF000000FF34D60600010503000034D60600010A036C0061F603FA0079741C0AE60009000016240149660100000067642C7D8A000C000003240116240149660100000061240167642C7D8A00000BD4090000180A0000560A0000580A00005A0A00005C0A00005E0A0000600A0000620A0000640A0000B40A0000100B0000EE000000000000000000000000D9000000000000000000000000D0000000000000000000000000D0000000000000000000000000C7000000000000000000000000C7000000000000000000000000C7000000000000000000000000C7000000000000000000000000770000000000000000000000006D0000000000000000000000006000000000000000000000000000000C370003240112641401010014A40000612401676409467B000009000003240114A40000612401676409467B00004F00006B645C00000016240117240149660100000002966C0008D63000028E00D4120B150006461200000000000000000000000000000000000637020000000000000000000000000000000014F6037D1417F60300001AD608000000FF000000FF1BD608000000FF000000FF1CD608000000FF000000FF1DD608000000FF000000</t>
  </si>
  <si>
    <t>Плотность нефти в поверхностных условиях, г/см3</t>
  </si>
  <si>
    <t>D0CF11E0A1B11AE1000000000000000000000000000000003E000300FEFF0900060000000000000000000000020000008A00000000000000001000008C00000001000000FEFFFFFF000000008800000089000000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</t>
  </si>
  <si>
    <t>FFFFFFFFFFFFFFFFFFFFFFFFECA5C100078019040000F012BF000000000000100000000000080000702300000E00626A626AF17CF17C00000000000000000000000000000000000019041600343C00009316010093160100B307000000000000000000000000000000000000000000000000000000000000FFFF0F000000000000000000FFFF0F000000000000000000FFFF0F0000000000000000000000000000000000B700000000008C160000000000008C160000EE23000000000000EE23000000000000EE23000000000000EE23000000000000EE230000140000000000000000000000FFFFFFFF00000000022400000000000002240000000000000224000000000000022400004400000046240000540000000224000000000000149C00001A0200009A240000000000009A240000000000009A240000000000009A240000000000009A24000000000000992500000000000099250000000000009925000000000000879B000002000000899B000000000000899B000000000000899B000000000000899B000000000000899B000000000000899B0000240000002E9E0000A2020000D0A0000054000000AD9B00002100000000000000000000000000000000000000EE230000000000009925000000000000000000000000000000000000000000009925000000000000992500000000</t>
  </si>
  <si>
    <t>000099250000000000009925000000000000AD9B0000000000000000000000000000EE23000000000000EE230000000000009A2400000000000000000000000000009A240000FF000000CE9B00001600000025270000000000002527000000000000252700000000000099250000BE000000EE230000000000009A24000000000000EE230000000000009A24000000000000879B000000000000000000000000000025270000000000000000000000000000000000000000000000000000000000000000000000000000000000000000000000000000000000009925000000000000879B00000000000000000000000000002527000000000000252700005E05000039900000D8030000000000000000000000000000000000000000000000000000000000000000000000000000000000000000000000000000000000000000000000000000000000000000000000000000A9990000000000009A24000000000000FFFFFFFF0000000060532945510AD10100000000000000000224000000000000572600005200000011940000680000000000000000000000739B000014000000E49B000030000000149C000000000000799400003005000024A1000000000000A92600007C00000024A10000D0000000A9990000000000000000000000000000000000000000000000000000000000000000</t>
  </si>
  <si>
    <t>0000000000000000000000000000000000000000000000000000000000000000000000000000A99900002600000024A10000000000000000000000000000EE23000000000000CF990000A4010000992500000000000099250000000000002527000000000000992500000000000099250000000000000000000000000000000000000000000000000000000000000000000000000000992500000000000099250000000000009925000000000000AD9B000000000000AD9B000000000000000000000000000000000000000000000000000000000000000000000000000025270000000000000000000000000000000000000000000000000000000000000000000000000000992500000000000099250000000000009925000000000000149C00000000000099250000000000009925000000000000992500000000000099250000000000000000000000000000FFFFFFFF00000000FFFFFFFF00000000FFFFFFFF000000000000000000000000FFFFFFFF00000000FFFFFFFF00000000FFFFFFFF00000000FFFFFFFF00000000FFFFFFFF00000000FFFFFFFF00000000FFFFFFFF00000000FFFFFFFF00000000FFFFFFFF00000000FFFFFFFF00000000FFFFFFFF00000000FFFFFFFF00000000FFFFFFFF00000000FFFFFFFF0000000024A10000000000009925000000000000992500000000</t>
  </si>
  <si>
    <t>0000992500000000000099250000000000009925000000000000992500000000000000000000000000000000000000000000000000000000000000000000000000000000000000000000000000000000000000000000000000009925000000000000992500000000000099250000000000008C160000280C0000B42200003A0100000500120100001904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</si>
  <si>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20004D043C0443043B044C04410438043904200028003F044004380420003F043B044E0441043E0432043E0439042000420435043C043F043504400430044204430440043504200032043E043704340443044504300429002000320420003D04350431043E043B044C0448043804450420003E0431044A0435043C043004450420003C043E0436043D043E04200033043E0442043E043204380442044C0420003D043004200041043A0432043004360438043D0435042000320420003C04350440043D043E043904200035043C043A043E0441044204380420003D04300441043E0441043D043E0433043E042000300433044004350433043004420430042000260410042D0033003200300020003F043E04200041043B043504340443044E0449043504390420004204350445043D043E043B043E043304380438043A000D00120420003C04350440043D0438043A04200034043E0437043804400443043504420441044F0420003D043504440442044C044E042000410420004D043C0443043B044C043304300442043E0440043E043C042000320420004004300441044704350442043D043E043C04200041043E043E0442043D043E04480435043D04380438042000740062006C005F003200340020003A002000740062006C005F0033003400200020003D043504440442044C0420003A00</t>
  </si>
  <si>
    <t>20004D043C0443043B044C043304300442043E0440042000380420003F043504400435043C04350448043804320430043504420441044F0420003204200042043504470435043D043804350420003300300020003C0438043D04430442042E000D0000000000000000000000000800001A0800001C0800001E0800005A0900005C090000560A0000580A00005A0A00005C0A0000620A0000640A0000B40A00000E0B0000100B0000280B0000320B0000340B00003E0B0000EFE3DCCDBEAFDCA8DCA1DC91877A6B5C4D3D000000000000000000000000000000000000000000000000000000001E16682C7D8A00434A1600504A03006D4809046E4809047348090474480904001C15688956FB0016688956FB00434A1600504A03006E48090474480904001C15682C7D8A0016682C7D8A00434A1600504A03006E48090474480904001C15688956FB001668C8227000434A1600504A03006E480904744809040018156809467B00166809467B004F4A0000514A0000614A180000121668C82270004F4A0000514A0000614A1800001F156809467B00166809467B00350881434A20004F4A0000514A0000614A20000C15681E71DB0016681C0AE600000C15681E71DB00166886692700001C15681E71DB0016681C0AE600434A18004F4A0000514A0000614A1800001C15681E71DB001668866927</t>
  </si>
  <si>
    <t>FF34D60600010503000034D60600010A036C0061F603FA0079741C0AE60009000016240149660100000067642C7D8A00090000162401496601000000676409467B001500000324031184C5021264F000010014A400001624014966010000006084C50261240367641C0AE6001100000324031264F000010014A4000016240149660100000061240367641C0AE600000B3E0B0000580B00005A0B00005C0B00005E0B0000600B0000620B0000B20B0000CE0B0000DA0B0000E00B0000EA0B0000040C0000060C0000080C00000A0C00003E0C0000400C00004E0C0000520C0000540C0000EC0C0000EE0C0000760D0000E00E0000F1E5D6C7BAB5ADA5A0A5A0A59890888179816E6681795C4D0000000000000000000000000000000000000000000000000000000000001C156848784A0016689727AD00434A18004F4A0000514A0000614A18000012156848784A0016689727AD003608813E2A01000F156848784A001668A2150100482A0214156848784A001668A21501006D48090473480904000F156848784A001668A21501003508810C156848784A001668A2150100000F1568B94AFD0016689727AD003508810F156848784A001668144477003508810F15681E71DB0016681E71DB003508810916681E71DB003508810F15688956FB0016689727AD003508810F156848784A00166897</t>
  </si>
  <si>
    <t>27AD00350881091668877C630035088118156809467B00166809467B004F4A0000514A0000614A1800001C156809467B00166886692700434A1600504A03006E48090474480904001C15682C7D8A00166809467B00434A1600504A03006E48090474480904001616682C7D8A00434A1600504A03006E48090474480904001C15688956FB00166809467B00434A1600504A03006E4809047448090418100B00005C0B00005E0B0000600B00000A0C0000EE0C0000760D0000E00E0000F60F00002A1D0000A21D0000BC1E0000BE1E0000A4200000A6200000EE000000000000000000000000EE000000000000000000000000E1000000000000000000000000D4000000000000000000000000C5000000000000000000000000B6000000000000000000000000A80000000000000000000000009700000000000000000000000097000000000000000000000000A800000000000000000000000086000000000000000000000000860000000000000000000000008600000000000000000000000086000000000000000000000000000000000000000000000000000000000000000000000000000000102B000324031184C50212641401010014A400006084C502612403676448784A001113000324030A26000B4630000DC60500016E040014A478006124036764D9667100000D000003240311</t>
  </si>
  <si>
    <t>84C50214A478006084C50261240367649727AD00000E2B000324030DC6050001E103001264140101006124036764A2150100000E2B000324031184C5021264140101006084C5026124036764B94AFD00000C2B0003240312641401010014A400006124036764B94AFD00000C370003240112641401010014A40000612401676409467B0000102B000324010DC6050001E1030012641401010014A4000061240167648F769D00000EE00E0000120F0000140F0000640F00006A0F00006C0F0000700F0000720F0000740F0000760F00007C0F0000800F0000820F00008E0F0000900F0000920F0000940F0000960F0000AC0F0000F60F0000001C0000841C00008A1C00008C1C0000901C0000921C0000941C0000961C0000F1E2F1CEBEAE9E8E7E6A7EAE5AAE9E5AAE5AF158F16A7EAE7E5A460022156811155900166827729100350881434A1800482A014F4A0000514A0000614A180000035508011F156811155900166827729100350881434A18004F4A0000514A0000614A18002715681115590016681E71DB00350881434A18004F4A0000514A0000614A18006D480904734809041F15681115590016681E71DB00350881434A18004F4A0000514A0000614A18001F156811155900166894561800350881434A18004F4A0000514A0000614A18001F1568111559001668D9667100350881</t>
  </si>
  <si>
    <t>434A18004F4A0000514A0000614A18001F156811155900166807624F00350881434A18004F4A0000514A0000614A18001F15681115590016682C7D8A00350881434A18004F4A0000514A0000614A18002715681115590016682C7D8A00350881434A18004F4A0000514A0000614A18006D480904734809041C15681115590016681E71DB00434A18004F4A0000514A0000614A1800001C156811155900166827729100434A18004F4A0000514A0000614A18001B1F044004380420004604380440043A0443043B044F044604380438042000AB003D04300420004104350431044F04BB00200034043E0437043804400443043504420441044F042000380420003F043504400435043C04350448043804320430043504420441044F04200032043E0434043D0430044F042000440430043704300420002800740062006C005F003400340020003C0433002000400430044104420432043E0440043004200041043E043B04380420002104300443006C0032002C0020003F043B043E0442043D043E04410442044C044E042000740062006C005F0034003200200033042F0041043C0433002C0020003E043104490430044F0420003C043004410441043004200041043E043B04380420004D0061007300730020003A0433042E0020000D001A043E043D0434043804460438043E043D043D043004</t>
  </si>
  <si>
    <t>4F0420004D043C0443043B044C04410438044F04200034043B044F04200033043B044304480435043D0438044F04200033043E0442043E0432043804420441044F042000370430042000340030002D003600300020003C0438043D042E0020000D002D044404440435043A044204380432043D043E04350420003F044004380433043E0442043E0432043B0435043D043804350420004D043C0443043B044C0441043804380420003F0440043E043804410445043E04340438044204200042043E043B044C043A043E0420003F044004380420003F0440043E043804370432043E0434043804420435043B044C043D043E0441044204380420003F043504400435043C04350448043804320430044E044904350433043E0420003F043E0442043E043A0430042C0020004004300432043D043E043C04200033002D00340020003E0431044A0435043C0430042000410431043E0440043D043E043904200035043C043A043E044104420438042000320420004704300441042E000D000D0014043B044F0420003F044004380433043E0442043E0432043B0435043D0438044F042000400430044104420432043E044004300420002104300443006C00320020003D0435043E04310445043E04340438043C043E042000380441043F043E043B044C0437043E04320430043D043804350420003F04</t>
  </si>
  <si>
    <t>4004350441043D043E04390420004204350445043D0438044704350441043A043E043904200032043E0434044B042C0020003F043B043E0442043D043E04410442044C044E0420003100200033042F0041043C0433002E002000120420003F0440043E044204380432043D043E043C04200041043B0443044704300435042C00200032043E0437043C043E0436043D043E0420003E0431044004300437043E04320430043D04380435042000320442043E044004380447043D044B04450420003E044104300434043A043E04320420003F044004380420003F044004380433043E0442043E0432043B0435043D043804380420004004300431043E044704350433043E042000400430044104420432043E04400430042C002000420435043C042000410430043C044B043C0420003F043E0432044B04480430043504420441044F0420004004380441043A0420003A043E043B044C043C0430044204300446043804380420001F0417041F042E000D000D000D000D000D000D002004300441044704350442043D044B04350420003F043004400430043C043504420440044B04200034043B044F0420003F044004380433043E0442043E0432043B0435043D0438044F04200020003E0434043D043E0433043E0420003E0431044A0435043C043004200031043B043E043A0420003F0430044704</t>
  </si>
  <si>
    <t>3A043804200018042D04200420003D04300420003E0441043D043E043204350420004D043C0443043B044C043304300442043E044004300420002F043B0430043D042D002D04310020003F0440043504340441044204300432043B0435043D044B042000320420004204300431043B043804460435043A000D0007001F043B043E0442043D043E04410442044C042C00200033042F0041043C043300070014043E043B044F0407001E0431044A0435043C042C0020003C043300070007003D043504440442044C040700070030002E00320030000700070007004D043C0443043B044C043304300442043E044004070030002E0038003300070030002E003000340007000700070012043E043404300420002800400430044104420432043E04400420002104300443006C0032002C00200034043E043704380440043E0432043A0430042000740062006C005F0064006F007A0020003A0433042F003C04330029000700070030002E003700360007000700070011043B043E043A042D003F04300447043A0430040700070031000700070007000D00200430044104420432043E04400420002104300443006C0032002000200033043E0442043E0432043804420441044F04200042043E043B044C043A043E0420003D04300420003F044004350441043D043E043904200032043E0434043504</t>
  </si>
  <si>
    <t>21000D000D000D000D000D001204350434044304490438043904200038043D04360435043D04350440040900090009000900090009000900240430043C0438043B0438044F04200018042E001E042E000D000D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61C0000981C0000BC1C0000BE1C0000D81C0000DE1C0000E01C0000E41C0000E61C0000EE1C0000F01C0000F41C0000001D0000161D00001E1D0000241D0000261D0000281D00002A1D0000A01D0000A21D0000BA1E0000EFE0D0E0BCAC9CAC8C7A6B5C6BBCACE06BE04D413A000000000000000C156848784A0016689727AD000016166886692700434A18004F4A0000514A0000614A1800001C156848784A0016689727AD00434A18004F4A0000514A0000614A1800001C15681115590016681E71DB00434A18004F4A0000514A0000614A1800001C15681115590016681D37CC00434A18004F4A0000514A0000614A18000022156811155900166827729100350881434A1800482A014F4A000051</t>
  </si>
  <si>
    <t>4A0000614A1800001F156811155900166827729100350881434A18004F4A0000514A0000614A18001F156811155900166807624F00350881434A18004F4A0000514A0000614A18001F15681115590016681E71DB00350881434A18004F4A0000514A0000614A18002715681115590016681E71DB00350881434A18004F4A0000514A0000614A18006D480904734809041F156811155900166827729100434A1800482A024F4A0000514A0000614A18001C156811155900166827729100434A18004F4A0000514A0000614A1800001F156811155900166827729100434A1800482A014F4A0000514A0000614A18000015BA1E0000BC1E0000BE1E0000F41E0000F81E0000FC1E0000FE1E00007C1F00007E1F0000801F0000881F00008A1F00004E200000602000009A200000A0200000A2200000A4200000A6200000AE200000FA200000182100009E210000A0210000A2210000C2210000C4210000E0210000E2210000E4210000E6210000FCF8F4ECE0D6F4D1C9C1B7F4B3F4B3F4ACA19D9692968E96755A755A75530000000000000000000000000C15681E71DB0016682C7D8A00003415681E71DB0016689727AD00422A01434A1800482A014F4A0000504A0000514A0000614A18006E48190470680000000074481904003115681E71DB0016689727AD00422A01434A18004F4A0000504A</t>
  </si>
  <si>
    <t>0000514A0000614A18006E481904706800000000744819040616681E71DB0000061668B3263F00000C156848784A0016689727AD0000061668FC4EA400001415681D37CC0016681D37CC006D48090473480904000C15681D37CC0016689F1CAB000006166888679300001215687A02FF0016689F1CAB00350881482A01000F15687A02FF0016689F1CAB003508810F15681E71DB0016681E71DB0035088109166807624F0035088112156848784A0016689F1CAB00350881482A020017156848784A0016689F1CAB003508816D480904734809040F156848784A0016689F1CAB003508810616689F1CAB000006166886692700000616689727AD001EA6200000A8200000AA200000AC200000AE200000A2210000A4210000C6210000D0210000E4210000F0000000000000000000000000F0000000000000000000000000F0000000000000000000000000F0000000000000000000000000F0000000000000000000000000E2000000000000000000000000E2000000000000000000000000E2000000000000000000000000E200000000000000000000000000000000000000000000000000000000000000000000000000000000000000000000000000000000000000000000000000000000000000000000000000000000000000000000000000000000000000000000000000000000000000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</si>
  <si>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E00001264F000010014A4000016240149660100000067641E71DB00000E2B000324031184C5021264140101006084C50261240367649727AD000009E4210000E6210000F2210000F4210000FE21000000220000590000000000000000000000004B0000000000000000000000003A0000000000000000000000003A0000000000000000000000003A0000000000000000000000000000000000000000000000000000000000000000000000000000001100000324011264F000010014A4000016240149660100000061240167641E71DB000E00001264F000010014A4000016240149660100000067641E71DB00A600006B64B800000016240117240149660100000002966C0005D61804010000040100000401000004010000040100000401000007942C0108D6</t>
  </si>
  <si>
    <t>5C000494FF6A09EF13E71DC3260066D609000000000000000000000000000000000066850A000000000000000000000000000000000066F809000000000000000000000000000000000066DC08000000000000000000000000000000000A740000A00413D630000000FF04010000000000FF04010000000000FF04010000000000FF04010000000000FF04010000000000FF0401000014F6032F2715360117F60300001AD610000000FF000000FF000000FF000000FF1BD610000000FF000000FF000000FF000000FF1CD610000000FF000000FF000000FF000000FF1DD610000000FF000000FF000000FF000000FF34D60600010503000034D60600010A036C0042D60300040161F603000079741E71DB000005E62100000022000002220000182200002022000022220000282200002A2200002E220000302200004C2200005022000054220000562200006E220000E6DFE6C5A8E68FE6DFE6806D5D42000000000000000000000000000000000000000000000000000000000000000000000000000000000000000000000000000000000000000000003415681E71DB0016689B0BEA00350881422A01434A18004F4A0000504A0000514A0000614A18006E48190470680000000074481904001F15681E71DB0016689B0BEA00434A1800482A024F4A0000514A0000614A18002415681E71DB</t>
  </si>
  <si>
    <t>0016689B0BEA00434A18004F4A0000514A0000614A18006D48090473480904001C15681E71DB0016689B0BEA00434A18004F4A0000514A0000614A1800003115681E71DB001668B349F000422A01434A18004F4A0000504A0000514A0000614A18006E481904706800000000744819043915682933CD0016689B0BEA00422A01434A18004F4A0000504A0000514A0000614A18006D4809046E48190470680000000073480904744819043316682933CD00422A01434A18004F4A0000504A0000514A0000614A18006D4809046E48190470680000000073480904744819040C15681E71DB0016682C7D8A00003115681E71DB0016689B0BEA00422A01434A18004F4A0000504A0000514A0000614A18006E48190470680000000074481904000E002200000222000018220000222200002C2200002E220000590000000000000000000000004B0000000000000000000000003A0000000000000000000000003A0000000000000000000000003A0000000000000000000000000000000000000000000000000000000000000000000000000000001100000324011264F000010014A4000016240149660100000061240167641E71DB000E00001264F000010014A4000016240149660100000067641E71DB00A600006B648701000016240117240149660100000002966C0005D618040100000401</t>
  </si>
  <si>
    <t>00000401000004010000040100000401000007942C0108D65C000494FF6A09EF13E71DC3260066D609000000000000000000000000000000000066850A000000000000000000000000000000000066F809000000000000000000000000000000000066DC08000000000000000000000000000000000A740000A00413D630000000FF04010000000000FF04010000000000FF04010000000000FF04010000000000FF04010000000000FF0401000014F6032F2715360117F60300001AD610000000FF000000FF000000FF000000FF1BD610000000FF000000FF000000FF000000FF1CD610000000FF000000FF000000FF000000FF1DD610000000FF000000FF000000FF000000FF34D60600010503000034D60600010A036C0042D60300040161F603000079741E71DB0000052E220000302200008C2200008E220000982200009A220000590000000000000000000000004B0000000000000000000000003A0000000000000000000000003A0000000000000000000000003A0000000000000000000000000000000000000000000000000000000000000000000000000000001100000324011264F000010014A4000016240149660100000061240167641E71DB000E00001264F000010014A4000016240149660100000067641E71DB00A600006B645602000016240117240149660100000002</t>
  </si>
  <si>
    <t>966C0005D61804010000040100000401000004010000040100000401000007942C0108D65C000494FF6A09EF13E71DC3260066D609000000000000000000000000000000000066850A000000000000000000000000000000000066F809000000000000000000000000000000000066DC08000000000000000000000000000000000A740000A00413D630000000FF04010000000000FF04010000000000FF04010000000000FF04010000000000FF04010000000000FF0401000014F6032F2715360117F60300001AD610000000FF000000FF000000FF000000FF1BD610000000FF000000FF000000FF000000FF1CD610000000FF000000FF000000FF000000FF1DD610000000FF000000FF000000FF000000FF34D60600010503000034D60600010A036C0042D60300040161F603000079741E71DB0000056E22000074220000762200007C220000862200008822000094220000962200009A2200009C220000B8220000BA220000BC220000BE220000CE220000D6220000E1C6E1AB8F765D765676AB564939290000001F156848784A0016685C240B00350881434A18004F4A0000514A0000614A18001F156848784A0016689727AD00350881434A18004F4A0000514A0000614A18001916687A02FF00350881434A18004F4A0000514A0000614A18000C15681E71DB0016682C7D8A00003115</t>
  </si>
  <si>
    <t>681E71DB001668B349F000422A01434A18004F4A0000504A0000514A0000614A18006E481904706800000000744819043115681E71DB0016689B0BEA00422A01434A18004F4A0000504A0000514A0000614A18006E481904706800000000744819043715681E71DB0016689B0BEA00350881422A01434A1800482A014F4A0000504A0000514A0000614A18006E481904706800000000744819043415681E71DB0016689B0BEA00350881422A01434A18004F4A0000504A0000514A0000614A18006E48190470680000000074481904003415681E71DB0016681E71DB00350881422A01434A18004F4A0000504A0000514A0000614A18006E48190470680000000074481904003C15681E71DB0016681E71DB00350881422A01434A18004F4A0000504A0000514A0000614A18006D4809046E48190470680000000073480904744819040F9A2200009C220000B2220000B4220000B8220000BA220000590000000000000000000000004B0000000000000000000000003A0000000000000000000000003A0000000000000000000000003A0000000000000000000000000000000000000000000000000000000000000000000000000000001100000324011264F000010014A4000016240149660100000061240167641E71DB000E00001264F000010014A4000016240149660100000067641E71</t>
  </si>
  <si>
    <t>DB00A600006B642503000016240117240149660100000002966C0005D61804010000040100000401000004010000040100000401000007942C0108D65C000494FF6A09EF13E71DC3260066D609000000000000000000000000000000000066850A000000000000000000000000000000000066F809000000000000000000000000000000000066DC08000000000000000000000000000000000A740000A00413D630000000FF04010000000000FF04010000000000FF04010000000000FF04010000000000FF04010000000000FF0401000014F6032F2715360117F60300001AD610000000FF000000FF000000FF000000FF1BD610000000FF000000FF000000FF000000FF1CD610000000FF000000FF000000FF000000FF1DD610000000FF000000FF000000FF000000FF34D60600010503000034D60600010A036C0042D60300040161F603000079741E71DB000005BA220000BC220000BE2200002023000022230000242300002623000028230000590000000000000000000000004D0000000000000000000000004D0000000000000000000000003F0000000000000000000000003F0000000000000000000000003F0000000000000000000000003F000000000000000000000000000000000D00000324031184C50214A478006084C502612403676409467B00000B0000118437021264</t>
  </si>
  <si>
    <t>68010100608437026764A2150100A600006B64F403000016240117240149660100000002966C0005D61804010000040100000401000004010000040100000401000007942C0108D65C000494FF6A09EF13E71DC3260066D609000000000000000000000000000000000066850A000000000000000000000000000000000066F809000000000000000000000000000000000066DC08000000000000000000000000000000000A740000A00413D630000000FF04010000000000FF04010000000000FF04010000000000FF04010000000000FF04010000000000FF0401000014F6032F2715360117F60300001AD610000000FF000000FF000000FF000000FF1BD610000000FF000000FF000000FF000000FF1CD610000000FF000000FF000000FF000000FF1DD610000000FF000000FF000000FF000000FF34D60600010503000034D60600010A036C0042D60300040161F603000079741E71DB000007D6220000D8220000DA220000DC220000DE2200001E2300002023000022230000242300002623000038230000462300004A23000050230000542300006C2300006E23000070230000EEDECCDEBFAFA09488798894A09488A06A000000000000000000000000000000000000000000000000000000000000000000000000000000000000000000000000000000000000000000000000000000</t>
  </si>
  <si>
    <t>0000000000000000000000000000000000000000000000000000000000000000000000000000000000000000000000000000000000000000000000001C156848784A0016689727AD00434A18004F4A0000514A0000614A1800001C156809467B0016681E71DB00434A18004F4A0000514A0000614A1800001616681E71DB00434A18004F4A0000514A0000614A18000016166809467B00434A18004F4A0000514A0000614A1800001C156809467B00166809467B00434A18004F4A0000514A0000614A1800001F156848784A001668A2150100350881434A18004F4A0000514A0000614A18001916681E71DB00350881434A18004F4A0000514A0000614A180022156848784A0016689727AD00350881434A1800482A024F4A0000514A0000614A1800001F156848784A0016689727AD00350881434A18004F4A0000514A0000614A180022156848784A0016685C240B00350881434A1800482A024F4A0000514A0000614A180011282300006E23000070230000F1000000000000000000000000F1000000000000000000000000000000000000000000000000000000000000000000000000000000000000000000000000000000000000000000000000000000000000000000000000000000000000000000000000000000000000000000000000000000000000000000000000000000000000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</si>
  <si>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D00000324031184C50214A478006084C502612403676409467B0000023200319068013A70781032001FB0822E20B0C64121B08A0522B03702239053032490530325B0000017B0C40218B0C4020C90C40200000000000000000000000000000000000000000000000000000000000000000000000000000000000000000000000000000000000000000000000000000000000000000000000000000000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</si>
  <si>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5A001624011724014966010000000196FA0021760002680135D605000103461235D60501020337022376000146122376010237023A560B0002966C0014F6037D1435D605000103461235D605010203370261F603FA0079741C0AE6005A001624011724014966010000000196FA00217600026801</t>
  </si>
  <si>
    <t>35D605000103461235D60501020337022376000146122376010237023A560B0002966C0014F6037D1435D605000103461235D605010203370261F603FA0079741C0AE600CD001624011724014966010000000196000021760004680135D605000103D60935D605010203850A35D605020303F80935D605030403DC0823760001D60923760102850A23760203F80923760304DC083A560B0002966C0007942C010A740000A00413D630000000FF04010000000000FF04010000000000FF04010000000000FF04010000000000FF04010000000000FF0401000014F6032F2715360135D605000103D60935D605010203850A35D605020303F80935D605030403DC0839D60300040142D60300040179741E71DB00CD001624011724014966010000000196000021760004680135D605000103D60935D605010203850A35D605020303F80935D605030403DC0823760001D60923760102850A23760203F80923760304DC083A560B0002966C0007942C010A740000A00413D630000000FF04010000000000FF04010000000000FF04010000000000FF04010000000000FF04010000000000FF0401000014F6032F2715360135D605000103D60935D605010203850A35D605020303F80935D605030403DC0839D60300040142D60300040179741E71DB00CD0016240117240149660100000001960000</t>
  </si>
  <si>
    <t>21760004680135D605000103D60935D605010203850A35D605020303F80935D605030403DC0823760001D60923760102850A23760203F80923760304DC083A560B0002966C0007942C010A740000A00413D630000000FF04010000000000FF04010000000000FF04010000000000FF04010000000000FF04010000000000FF0401000014F6032F2715360135D605000103D60935D605010203850A35D605020303F80935D605030403DC0839D60300040142D60300040179741E71DB00CD001624011724014966010000000196000021760004680135D605000103D60935D605010203850A35D605020303F80935D605030403DC0823760001D60923760102850A23760203F80923760304DC083A560B0002966C0007942C010A740000A00413D630000000FF04010000000000FF04010000000000FF04010000000000FF04010000000000FF04010000000000FF0401000014F6032F2715360135D605000103D60935D605010203850A35D605020303F80935D605030403DC0839D60300040142D60300040179741E71DB00CD001624011724014966010000000196000021760004680135D605000103D60935D605010203850A35D605020303F80935D605030403DC0823760001D60923760102850A23760203F80923760304DC083A560B0002966C0007942C010A740000A00413D630000000</t>
  </si>
  <si>
    <t>FF04010000000000FF04010000000000FF04010000000000FF04010000000000FF04010000000000FF0401000014F6032F2715360135D605000103D60935D605010203850A35D605020303F80935D605030403DC0839D60300040142D60300040179741E71DB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</si>
  <si>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6A043900120001000B010F000700030003000300</t>
  </si>
  <si>
    <t>0000040008000000980000000E0000009E0000009E0000009E0000009E0000009E0000009E0000009E0000003606000036060000360600003606000036060000360600003606000036060000360600007E0200007E0200007E0200007602000076020000760200007602000076020000760200003606000036060000360600003606000006000000360600000E000000360600003606000036060000360600003606000036060000060000003606000036060000360600003606000036060000360600003606000036060000360600003606000036060000360600003606000036060000360600003606000036060000360600003606000036060000080000003606000036060000160000003606000036060000360600003606000036060000360600003606000036060000B800000036060000360600003606000036060000360600003606000036060000360600000600000036060000360600003606000068010000480100003606000006000000360600003606000036060000360600003606000036060000360600003606000036060000360600003606000036060000360600003606000036060000360600003606000036060000360600003606000036060000360600003606000036060000360600003606000036060000360600003606000036060000360600003606000036060000</t>
  </si>
  <si>
    <t>360600003606000036060000360600003606000036060000360600003606000036060000360600003606000036060000360600003606000036060000360600003606000036060000360600003606000036060000360600003606000036060000360600003606000036060000360600003606000036060000B0030000360600003206000018000000C0030000D0030000E0030000F003000000040000100400002004000030040000400400005004000060040000700400008004000090040000C0030000D0030000E0030000F003000000040000100400003206000028020000D8010000E80100002004000030040000400400005004000060040000700400008004000090040000C0030000D0030000E0030000F003000000040000100400002004000030040000400400005004000060040000700400008004000090040000C0030000D0030000E0030000F003000000040000100400002004000030040000400400005004000060040000700400008004000090040000C0030000D0030000E0030000F003000000040000100400002004000030040000400400005004000060040000700400008004000090040000C0030000D0030000E0030000F003000000040000100400002004000030040000400400005004000060040000700400008004000090040000C0030000D0030000E0030000</t>
  </si>
  <si>
    <t>F0030000000400001004000020040000300400004004000050040000600400007004000080040000900400003801000058010000F80100000802000018020000560200007E020000200000004F4A0300504A0300514A03005F4801046D4819046E4819047348190474481904000000004C000060F1FF02004C000C10000028598D00000007001E0431044B0447043D044B04390400000C00000012641401010014A4C8001800434A16005F480104614A16006D4819047348190474480904760001000100020076000C100F006666D00090000B001704300433043E043B043E0432043E043A04200031000000190001000524010624011264F000010013A4E00114A40000402600002B00350801422A07434A1C004F4A0400504A0000514A04005C08015E4A0000614A1C007068365F91007448190400660002000100020066000C1010006666D00000000B001704300433043E043B043E0432043E043A04200032000000190002000624011264F000010014A400004026016084C502612401001B00350801434A18004F4A0000504A0000514A00005E4A0000614A1C0000760003000100020076000C1911006666D00090000B001704300433043E043B043E0432043E043A04200033000000190003000524010624011264F000010013A4C80014A40000402602002B00350801422A07434A1800</t>
  </si>
  <si>
    <t>4F4A0400504A0000514A04005C08015E4A0000614A180070684F81BD00744819040000000000000000000000000042004120F2FFA10042000C0D000000000000100015001E0441043D043E0432043D043E04390420004804400438044404420420003004310437043004460430040000000058006940F3FFB30058000C1D00000000000030060F001E0431044B0447043D0430044F0420004204300431043B0438044604300400001C0017F603000034D60600010A036C0034D60600010503000061F603000002000B0000002E006B20F4FFC1002E00000D00000000000030060A001D0435044204200041043F04380441043A043004000002000C00000000006400FE0FA200F10064000C0001006666D000900010001704300433043E043B043E0432043E043A0420003100200017043D0430043A0400002B00350881422A07434A1C004F4A0400504A0000514A04005C08815E4A0000614A1C007068365F910074481904005400FE0FA200010154000C0002006666D000000010001704300433043E043B043E0432043E043A0420003200200017043D0430043A0400001B00350881434A18004F4A0000504A0000514A00005E4A0000614A1C00006400FE0FA200110164000C0103006666D000900010001704300433043E043B043E0432043E043A0420003300200017043D0430043A040000</t>
  </si>
  <si>
    <t>2B00350881422A07434A18004F4A0400504A0000514A04005C08815E4A0000614A180070684F81BD0074481904007A009A00B30023017A000C00000026429900B0030D002104350442043A04300420004204300431043B04380446044B04000037003A56120013D630000000FF04010000000000FF04010000000000FF04010000000000FF04010000000000FF04010000000000FF04010000000C0012001264F000010014A4000000003C00B340010032013C000C1000005D33E70020020C0010043104370430044604200041043F04380441043A0430040000090013005E84D0026D2401000000700052000100420170000C081500D623030030061B001E0441043D043E0432043D043E0439042000420435043A04410442042000410420003E0442044104420443043F043E043C04200032000000100014001264E001010014A478005E841B0110004F4A0300504A0300514A03005E4A00006800FE0FA200510168000C001400D6230300300620001E0441043D043E0432043D043E0439042000420435043A04410442042000410420003E0442044104420443043F043E043C0420003200200017043D0430043A04000010004F4A0300504A0300514A03005E4A0000540099000100620154000C09170085295A0030060D00220435043A0441044204200032044B043D043E0441043A043804</t>
  </si>
  <si>
    <t>00000C0016001264F000010014A400001400434A10004F4A0500514A05005E4A0500614A10005000FE0FA200710150000C01160085295A0030061200220435043A0441044204200032044B043D043E0441043A043804200017043D0430043A0400001400434A10004F4A0500514A05005E4A0500614A10005A003E00010082015A000C1019006666D000000008001D0430043704320430043D043804350400000F0018001264F000010014A40000612401001F00350801434A18004F4A0000504A0000514A00005E4A0000614A140074481904005200FE0FA200910152000C0018006666D00000000D001D0430043704320430043D0438043504200017043D0430043A0400001F00350881434A18004F4A0000504A0000514A00005E4A0000614A140074481904006C0020000100A2016C000C001B006666D000000011001D04380436043D043804390420003A043E043B043E043D0442043804420443043B04000017001A001264F000010014A4000015C6080002391072200102001800434A14004F4A0000504A0000514A00005E4A0000614A14005C00FE0FA200B1015C000C001A006666D000000016001D04380436043D043804390420003A043E043B043E043D0442043804420443043B04200017043D0430043A0400001800434A14004F4A0000504A0000514A00005E4A0000614A1400</t>
  </si>
  <si>
    <t>34002920F2FFC10134000C0000006666D00000000E001D043E043C0435044004200041044204400430043D04380446044B040000000076001400010002007600051000006666D00070020C001E0433043B04300432043B0435043D04380435042000320000001A001D0012646801010014A4000015C6080002E001C326000A6124032A00350801434A14004F4A0000504A0000514A00005E4A0000614A14006D4800046E480004744819047508017A001300010002007A00051000006666D00070020C001E0433043B04300432043B0435043D04380435042000310000001A001E0012646801010014A4000015C60800026801C326000A6124032D003B0801434A18004F4A0000504A0000514A00005C08015E4A0000614A18006D4800046E48000474481904750801003A005520F2FFF1013A000C0000006666D00030060B00130438043F0435044004410441044B043B043A04300400000C003E2A01422A0270680000FF0078001500010002007800051800006666D00070020C001E0433043B04300432043B0435043D04380435042000330000001B00200012646801010014A4000015C6050001B7260A6084C502612403002A00350801434A14004F4A0000504A0000514A00005E4A0000614A14006D4800046E480004744819047508016400FE0F0100020064000C0000006666D0000000</t>
  </si>
  <si>
    <t>09006D005F0031005F001F0443043D043A0442040000160021000624010B4605001264F000010014A4000061240322003508013B0801434A18004F4A0000504A0000514A00005E4A0000614A1800744819046600FE0F0100020066000C0000006666D000000009006D005F0032005F001F0443043D043A04420400001A0022000624011264F000010014A4000015C6050001FE01006124031F00350801434A18004F4A0000504A0000514A00005E4A0000614A1800744819040052000A011100020052000C1800006666D000700214001704300433043E043B043E0432043E043A0420003E0433043B04300432043B0435043D0438044F0400000B0023001264140101004026090004007448090452009D20F1FF420252000C1000006666D00010000D00110435043704200038043D04420435044004320430043B0430040000020024001C00434A1600504A00005F480104614A16006D48190473481904744819047000FE0F0100020070000C0000006666D000000009006D005F0033005F001F0443043D043A04420400001B0025001264F000010014A4000015C60500015804065E848801612403002700350801434A18004F4A0000504A0000514A00005E4A0000614A18006D4809047348090474481904005A001D00010062025A000C0927006666D00030060C00220435043A0441044204</t>
  </si>
  <si>
    <t>200041043D043E0441043A04380400000C0026001264F000010014A400001C00434A14004F4A0000504A0000514A00005E4A0000614A1400744819045600FE0FA200710256000C0126006666D00030061100220435043A0441044204200041043D043E0441043A043804200017043D0430043A0400001C00434A14004F4A0000504A0000514A00005E4A0000614A140074481904680022000100020068000C1000006666D000000010001D0430043704320430043D043804350420003E0431044A0435043A044204300400000C0028001264F000010014A400002200350801434A14004F4A0000504A0000514A00005C08015E4A0000614A1400744819047C005300010092027C000C002A006666D00000001B001E0441043D043E0432043D043E0439042000420435043A04410442042000410420003E0442044104420443043F043E043C04200033000000100029001264F000010014A478005E841B011C00434A10004F4A0000504A0000514A00005E4A0000614A1000744819047400FE0FA200A10274000C0029006666D000000020001E0441043D043E0432043D043E0439042000420435043A04410442042000410420003E0442044104420443043F043E043C0420003300200017043D0430043A0400001C00434A10004F4A0000504A0000514A00005E4A0000614A1000744819045E00</t>
  </si>
  <si>
    <t>42400100B2025E000C082C006666D00030060E001E0441043D043E0432043D043E0439042000420435043A044104420400000C002B001264F000010014A478001C00434A18004F4A0000504A0000514A00005E4A0000614A1800744819045A00FE0FA200C1025A000C002B006666D000300613001E0441043D043E0432043D043E0439042000420435043A0441044204200017043D0430043A0400001C00434A18004F4A0000504A0000514A00005E4A0000614A1800744819047200FE2F0100020072000C002E006666D00000000F006D005F001704300433041F04400438043B043E04360435043D043804350400000F002D001264F000010014A400006124010029003508813B0881434A18004F4A0000504A0000514A00005C0881614A18006D4800007348000074481904006600FE2FF2FFE10266000C022D006666D000000014006D005F001704300433041F04400438043B043E04360435043D0438043504200017043D0430043A04000025003508813B0881434A18004F4A0000504A0000514A00005C08815E4A0000614A180074481904005000FE0F0100F20250000C0000006666D000000004004204300431043B04000012002F001264F000010014A400003724003824001C00434A14004F4A0000504A0000514A00005E4A0000614A1400744819044C005A00010002034C000C00</t>
  </si>
  <si>
    <t>31006666D00000000500220435043A044104420400000C0030001264F000010014A400001C00434A14004F4A0600504A0000514A06005E4A0000614A1400744819044800FE0FA200110348000C0030006666D00000000A00220435043A0441044204200017043D0430043A0400001C00434A14004F4A0600504A0000514A06005E4A0000614A1400744819044C00FE0F010022034C000C0000006666D000000005003E0431044B0447043D0400000C0032001264F000010014A400001C00434A18004F4A0000504A0000514A00005E4A0000614A1800744819047A00FE0F010002007A000C0000006666D0000000110053005F001D0430043704320430043D04380435042204300431043B04380446044B0400001D0033000624011264F000010014A4000015C60500019A0600312400612402001F00350801434A14004F4A0200504A0000514A02005E4A0000614A180074481904004800FE0F0100420348000C0000006666D00000000100610000000F0034001264F000010014A40000612403001C00434A18004F4A0000504A0000514A00005E4A0000614A18007448190462001E000100520362000C0836006666D00030061000220435043A044104420420003F04400438043C043504470430043D0438044F0400000C0035001264F000010014A400001C00434A14004F4A0000504A0000</t>
  </si>
  <si>
    <t>514A00005E4A0000614A1400744819045E00FE0FA20061035E000C0035006666D00030061500220435043A044104420420003F04400438043C043504470430043D0438044F04200017043D0430043A0400001C00434A14004F4A0000504A0000514A00005E4A0000614A140074481904460050400100720346000C09380009467B00300610001E0441043D043E0432043D043E0439042000420435043A04410442042000320000000C0037001264E001010014A4780000004200FE0FA200810342000C01370009467B00300615001E0441043D043E0432043D043E0439042000420435043A044104420420003200200017043D0430043A0400000000504B030414000600080000002100828ABC13FA0000001C020000130000005B436F6E74656E745F54797065735D2E786D6CAC91CB6AC3301045F785FE83D0B6D872BA28A5D8CEA249777D2CD20F18E4B12D6A8F843409C9DF77ECB850BA082D74231062CE997B55AE8FE3A00E1893F354E9555E6885647DE3A8ABF4FBEE29BBD72A3150038327ACF409935ED7D757E5EE14302999A654E99E393C18936C8F23A4DC072479697D1C81E51A3B13C07E4087E6B628EE8CF5C4489CF1C4D075F92A0B44D7A07A83C82F308AC7B0A0F0FBF90C2480980B58ABC733615AA2D210C2E02CB04430076A7EE833DFB6CE62E3ED7E14693E8317D8CD0433</t>
  </si>
  <si>
    <t>BF5C60F53FEA2FE7065BD80FACB647E9E25C7FC421FD2DDB526B2E9373FED4BB902E182E97B7B461E6BFAD3F010000FFFF0300504B030414000600080000002100A5D6A7E7C0000000360100000B0000005F72656C732F2E72656C73848FCF6AC3300C87EF85BD83D17D51D2C31825762FA590432FA37D00E1287F68221BDB1BEBDB4FC7060ABB0884A4EFF7A93DFEAE8BF9E194E720169AAA06C3E2433FCB68E1763DBF7F82C985A4A725085B787086A37BDBB55FBC50D1A33CCD311BA548B63095120F88D94FBC52AE4264D1C910D24A45DB3462247FA791715FD71F989E19E0364CD3F51652D73760AE8FA8C9FFB3C330CC9E4FC17FAF2CE545046E37944C69E462A1A82FE353BD90A865AAD41ED0B5B8F9D6FD010000FFFF0300504B0304140006000800000021006B799616830000008A0000001C0000007468656D652F7468656D652F7468656D654D616E616765722E786D6C0CCC4D0AC3201040E17DA17790D93763BB284562B2CBAEBBF600439C1A41C7A0D29FDBD7E5E38337CEDF14D59B4B0D592C9C070D8A65CD2E88B7F07C2CA71BA8DA481CC52C6CE1C715E6E97818C9B48D13DF49C873517D23D59085ADB5DD20D6B52BD521EF2CDD5EB9246A3D8B4757E8D3F729E245EB2B260A0238FD010000FFFF0300504B030414000600080000002100A0BC18C6B5060000831B000016</t>
  </si>
  <si>
    <t>0000007468656D652F7468656D652F7468656D65312E786D6CEC59CF6E1B4518BF23F10EA3BDB7B1133B8DA33855ECD80DB469A3D82DEA71BC1EEF4E33BBB39A1927F5AD4A8F482044411CA8045C382020528BB8B4EFE03E43A0088AD457E09B995D7B27DE90A48DA082E6107B677FDFFF3FF3CD78E5F2DD88A15D2224E571DD2B5F2C7988C43EEFD338A87B37BBED0B4B1E920AC77DCC784CEADE8848EFF2EABBEFACE06515928820A08FE532AE7BA152C9F2DC9CF46119CB8B3C2131BC1B701161058F2298EB0BBC077C2336375F2A2DCE4598C61E8A71046CC7DF8C7F1A3F191FA01B8301F589B79AF16F3110122BA9177C263A9A3BC988BE7EB63F3E183F1D3F1E1F3CBB07DF9FC2E7C786B6BF53D61472249B4CA05DCCEA1E88EEF3BD2EB9AB3CC4B054F0A2EE95CC9F37B7BA3287975322A68EA1CDD1B5CD5F4A9712F477E68D4C11F42642CBED4AEDD2FA84BF0130358B6BB55ACD5679C2CF00B0EF83E556973CCF4A7BA9DCC878E640F6EB2CEF66A95AAAB8F81CFF85199D6B8D46A35A4B75B14C0DC87EADCCE0974A8B95B579076F40165F9DC1571A6BCDE6A28337208B5F9CC1B72FD5162B2EDE804246E39D19B40E68BB9D729F40069C6D14C29700BE544AE1531464C324DBB488018FD569732FC277B8680381266458D118A9514206D887446FE2A82728D602F132C1B93776C997</t>
  </si>
  <si>
    <t>334B5A3692BEA089AA7BEF27188A66CAEFE593EF5F3E79840EF71F1FEEFF7C78FFFEE1FE8F969143B581E3204FF5E2DB4FFE7C780FFDF1E8AB170F3E2BC6CB3CFED71F3EFCE5E9A7C54028A7A93ACF3F3FF8EDF1C1F32F3EFAFDBB0705F035817B7978974644A2EB640F6DF3080C335E7135273D71368A6E88699E622D0E248EB19652C0BFA542077D7D84591A1D478F06713D784B403B29025E19DE7114EE8462A86881E4AB61E4003739670D2E0ABD7055CBCAB9B93B8C8362E16298C76D63BC5B24BB896327BEAD61027D354B4BC7F066481C35B7188E150E484C14D2EFF80E2105D6DDA6D4F1EB26F505977CA0D06D8A1A9816BAA44B7B4E364D89366804711915D90CF1767CB3790B35382BB27A9DECBA48A80ACC0A94EF12E6B8F10A1E2A1C15B1ECE288E51D7E0DABB048C9CE48F8795C4B2A8874401847AD3E91B288E686007B7341BF8AA18315867D938D22172914DD29E2790D739E47AEF39D6688A3A408DBA17198C7BE2777204531DAE2AA08BEC9DD0AD1CF10071C1F1BEE5B9438E13EB91BDCA481A3D23441F49BA1D0B184D6ED74E088C67FD78E19857E6C73E0FCDA3134C0E75F3E2CC8AC37B511AFC19E5454091B47DAEF71B8A34DB7C9459FBEF93D771D0FE32D02693EBBF1BC6DB96F5BAEF79F6FB9C7D5F3691BEDB4B742DBD573831D92CDC81C9D7A621E50C63A6AC4C8</t>
  </si>
  <si>
    <t>3569866609FB46BF0D8B9A8F395092C9892A09E16BDAE71D5C20B0A14182AB0FA80A3B214E60E02E7B9A492053D68144099770F033CB85BC351E8676658F8D557DA0B0FD4162B5C9FB7679412F67E786091BB3FB04E6B09A095AD00C4E2B6CE152CA14CC7E156165ADD4A9A5958D6AA6F539D22626434C674D83C5893761204130C6809717E148AF45C3410533D2D77EB77B7116161385F30C910C719FA431D276CFC6A86C8294E58AB93980DC2988913E049EE0B59CB49A66FB1AD24E13A4BCB8CA31E2B2E8BD4E94B20C9E4649D7F191726471BE38598CF6EA5EAD3A5FF5908F93BA3780332E7C8D1288BAD433206601DC25F94AD8B43FB1984D954FA359CB0C738BA00CD718D6EF33063B7D201152AD6319DAD430AFD21460B19664F59FAF825BCFCB009BE9AFA0C5C21224C3BFA605F8D10D2D190C88AFF2C1CEAD68DFD9C7B495F2A122A213F6F7508F0DC53686F0EB54057BFA54C25585E908FA01EED9B4B7CD2BB739A74597BFDD3238BB8E5912E2B4DDEA12CD2AD9C24D1D4F74304F39F5C0B642DD8D716737C594FC3999924FE3FF99297A3F819B8385BE8E800F37BF02235DAF758F0B1572E8424948FDB68041C2F40EC816B8AB85D7905470FF6C3E05D9D59FB6E62C0F53D6700054DB344082C27EA44241C816B425937D27302BA77B9765C9524626A372EACAC4AADD23BB847575</t>
  </si>
  <si>
    <t>0F5CD47BBB87424875D34DD236607047F3CF7D4E2BA817E821275F6F4E0F99ECBDB606FEE9C9C7163318E5F66133D064FE9FA858B0AB5A7A439EEDBD7943F48BE99855C9AA0284E5B6825A5AF6AFA8C219B75ADBB1662C9EAF66CA4114672D86C5C94094C0FD0FD2FF60FFA3C267F6970CBDA176F936F456043F446866903690D517ECE0817483B48B3D189CECA24D26CDCABA361D9DB4D7B2CDFA9C27DD89DC23CED69A9D26DE6774F6643873C539B5789ECE4E3DECF8DAAE1DEB6A88ECD11285A54176B0318131BF82E57FA5E2BD3B10E875B8EF1F32254D32C16F4E02C3E8D9317500C56F251AD2D5BF000000FFFF0300504B0304140006000800000021000DD1909FB60000001B010000270000007468656D652F7468656D652F5F72656C732F7468656D654D616E616765722E786D6C2E72656C73848F4D0AC2301484F78277086F6FD3BA109126DD88D0ADD40384E4350D363F2451ECED0DAE2C082E8761BE9969BB979DC9136332DE3168AA1A083AE995719AC16DB8EC8E4052164E89D93B64B060828E6F37ED1567914B284D262452282E3198720E274A939CD08A54F980AE38A38F56E422A3A641C8BBD048F7757DA0F19B017CC524BD62107BD5001996509AFFB3FD381A89672F1F165DFE514173D9850528A2C6CCE0239BAA4C04CA5BBABAC4DF000000FFFF0300504B01022D0014</t>
  </si>
  <si>
    <t>000600080000002100828ABC13FA0000001C0200001300000000000000000000000000000000005B436F6E74656E745F54797065735D2E786D6C504B01022D0014000600080000002100A5D6A7E7C0000000360100000B000000000000000000000000002B0100005F72656C732F2E72656C73504B01022D00140006000800000021006B799616830000008A0000001C00000000000000000000000000140200007468656D652F7468656D652F7468656D654D616E616765722E786D6C504B01022D0014000600080000002100A0BC18C6B5060000831B00001600000000000000000000000000D10200007468656D652F7468656D652F7468656D65312E786D6C504B01022D00140006000800000021000DD1909FB60000001B0100002700000000000000000000000000BA0900007468656D652F7468656D652F5F72656C732F7468656D654D616E616765722E786D6C2E72656C73504B050600000000050005005D010000B50A000000003C3F786D6C2076657273696F6E3D22312E302220656E636F64696E673D225554462D3822207374616E64616C6F6E653D22796573223F3E0D0A3C613A636C724D617020786D6C6E733A613D22687474703A2F2F736368656D61732E6F70656E786D6C666F726D6174732E6F72672F64726177696E676D6C2F323030362F6D61696E22206267313D22</t>
  </si>
  <si>
    <t>6C743122207478313D22646B3122206267323D226C743222207478323D22646B322220616363656E74313D22616363656E74312220616363656E74323D22616363656E74322220616363656E74333D22616363656E74332220616363656E74343D22616363656E74342220616363656E74353D22616363656E74352220616363656E74363D22616363656E74362220686C696E6B3D22686C696E6B2220666F6C486C696E6B3D22666F6C486C696E6B222F3E00000000B30700000B00003C00000000FFFFFFFF000800003E0B0000E00E0000961C0000BA1E0000E62100006E220000D622000070230000080000000B0000000D000000120000001300000016000000190000001C00000000080000D4090000100B0000A6200000E4210000002200002E2200009A220000BA2200002823000070230000090000000A0000000C000000140000001500000017000000180000001A0000001B0000001D0000000F0000F05C000000000006F0280000000210000004000000010000000100000001000000020000000000000000000000000000000000000023000BF00C000000864100000000C5410000000040001EF110000000FFFF00000000FF0080808000F7000010000F0002F092000000100008F00800000001000000010400000F0003F0300000000F0004F028000000010009F01000000000</t>
  </si>
  <si>
    <t>00000000000000000000000000000002000AF00800000000040000050000000F0004F04200000012000AF00800000001040000000E000053000BF01E000000BF0100001000CB0100000000FF01000008000403090000003F0301000100000011F0040000000100000000000000680100007E01000094010000990100009A0100009F010000E7010000EC010000F0010000F50100002502000029020000850200008F020000B2030000B5030000BB030000BE0300003D04000040040000670400006A0400007505000079050000210700002507000032070000350700003607000039070000B507000007001C0007001C0007001C0007001C0007001C0007001C0007001C0007001C0007001C0007001C0007001C0007001C0007001C0007001C0007001C000700000000005201000053010000850200008F020000B8030000BA030000FB0300008F0400003005000036050000D8060000D9060000B507000007001A0007001A0007001A0007001A0007001A0007001A000700000000000F0000000C01000032010000B9050000C2050000CD060000ED060000EE060000F4060000F5060000FA060000FC06000011070000420700004707000049070000540700005507000057070000B5070000050007000500070005000700050007000500070005000700050007000500070005000700050007</t>
  </si>
  <si>
    <t>003100B160E205184232B1FF0FFF0FFF0FFF0FFF0FFF0FFF0FFF0FFF0F1000457CE9053C79987AFF0FFF0FFF0FFF0FFF0FFF0FFF0FFF0FFF0F0000BB5EAA09F0793C8FFF0FFF0FFF0FFF0FFF0FFF0FFF0FFF0FFF0F0000F04A1A0A02F21040FF0FFF0FFF0FFF0FFF0FFF0FFF0FFF0FFF0F10000036270A4CFAA6CAFF0FFF0FFF0FFF0FFF0FFF0FFF0FFF0FFF0F10005D3B140BDEF8A44AFF0FFF0FFF0FFF0FFF0FFF0FFF0FFF0FFF0F1000D86F5617A25FB2FDFF0FFF0FFF0FFF0FFF0FFF0FFF0FFF0FFF0F10008E0E1C19907A50A5FF0FFF0FFF0FFF0FFF0FFF0FFF0FFF0FFF0F000093488219980032F5FF0FFF0FFF0FFF0FFF0FFF0FFF0FFF0FFF0F1000EA7A081D0C8212D7FF0FFF0FFF0FFF0FFF0FFF0FFF0FFF0FFF0F1000594F6F1E0ED80C99FF0FFF0FFF0FFF0FFF0FFF0FFF0FFF0FFF0F10008857BA1F3EE39495FF0FFF0FFF0FFF0FFF0FFF0FFF0FFF0FFF0F1000AD41E11FB4D6EA43FF0FFF0FFF0FFF0FFF0FFF0FFF0FFF0FFF0F10002028E41FE0BEF4E3FF0FFF0FFF0FFF0FFF0FFF0FFF0FFF0FFF0F1000DD7BF9214CD98258FF0FFF0FFF0FFF0FFF0FFF0FFF0FFF0FFF0F1000D945B8254A92F270FF0FFF0FFF0FFF0FFF0FFF0FFF0FFF0FFF0F100076141E26ECAC5693FF0FFF0FFF0FFF0FFF0FFF0FFF0FFF0FFF0F0000122B2E286E4A9C80FF0FFF0FFF0FFF0FFF0FFF0FFF</t>
  </si>
  <si>
    <t>0FFF0FFF0F1000182704291F001904FF0FFF0FFF0FFF0FFF0FFF0FFF0FFF0FFF0F0000786226296EB7DE84FF0FFF0FFF0FFF0FFF0FFF0FFF0FFF0FFF0F00008E3EBC29A6574EB6FF0FFF0FFF0FFF0FFF0FFF0FFF0FFF0FFF0F1000D25F512C769FAECEFF0FFF0FFF0FFF0FFF0FFF0FFF0FFF0FFF0F10008F22252D2ADF004EFF0FFF0FFF0FFF0FFF0FFF0FFF0FFF0FFF0F1000B70D3C2D1F001904FF0FFF0FFF0FFF0FFF0FFF0FFF0FFF0FFF0F0000857CD82D44FEA8B9FF0FFF0FFF0FFF0FFF0FFF0FFF0FFF0FFF0F00003377F42ED2578EA9FF0FFF0FFF0FFF0FFF0FFF0FFF0FFF0FFF0F0000DB2097311F001904FF0FFF0FFF0FFF0FFF0FFF0FFF0FFF0FFF0F0000F31D5F397495DAAEFF0FFF0FFF0FFF0FFF0FFF0FFF0FFF0FFF0F1000786F7539163034BBFF0FFF0FFF0FFF0FFF0FFF0FFF0FFF0FFF0F1000C712673B6EB7DE84FF0FFF0FFF0FFF0FFF0FFF0FFF0FFF0FFF0F00008B24343E88DDC416FF0FFF0FFF0FFF0FFF0FFF0FFF0FFF0FFF0F0000D657F947D43076A2FF0FFF0FFF0FFF0FFF0FFF0FFF0FFF0FFF0F10009C2B364B32C4AA34FF0FFF0FFF0FFF0FFF0FFF0FFF0FFF0FFF0F10000320DE4C244EEA4AFF0FFF0FFF0FFF0FFF0FFF0FFF0FFF0FFF0F1000DC5E295142B686E2FF0FFF0FFF0FFF0FFF0FFF0FFF0FFF0FFF0F1000A108525C1F001904FF0FFF0FFF0FFF0FFF</t>
  </si>
  <si>
    <t>0FFF0FFF0FFF0FFF0F00005442A05CF22720B02100FF0FFF0FFF0FFF0FFF0FFF0FFF0FFF0F00004B012E6060678E4CFF0FFF0FFF0FFF0FFF0FFF0FFF0FFF0FFF0F1000867AA162246AC876FF0FFF0FFF0FFF0FFF0FFF0FFF0FFF0FFF0F1000551025683677B89EFF0FFF0FFF0FFF0FFF0FFF0FFF0FFF0FFF0F1000F80BEB6A4897DAD2FF0FFF0FFF0FFF0FFF0FFF0FFF0FFF0FFF0F1000173BB071363D523BFF0FFF0FFF0FFF0FFF0FFF0FFF0FFF0FFF0F1000D71F7172B83AE02DFF0FFF0FFF0FFF0FFF0FFF0FFF0FFF0FFF0F10008161B5727CCD90EEFF0FFF0FFF0FFF0FFF0FFF0FFF0FFF0FFF0F1000F6045A73E80904FAFF0FFF0FFF0FFF0FFF0FFF0FFF0FFF0FFF0F10006251CA7372C30858FF0FFF0FFF0FFF0FFF0FFF0FFF0FFF0FFF0F1000BD2F03762AC7563EFF0FFF0FFF0FFF0FFF0FFF0FFF0FFF0FFF0F1000444C4978ECAC5693FF0FFF0FFF0FFF0FFF0FFF0FFF0FFF0FFF0F00000309247A26C1DCAEFF0FFF0FFF0FFF0FFF0FFF0FFF0FFF0FFF0F1000010000000000010000000000000000000000000000000000031000000F842D04118498FE5E842D04608498FE6F2800020000002900010000000480010000000000000000000000000000000000001000000F84FD06118498FE5E84FD06608498FE020001002E0001000000028201000000000000000000000000000000</t>
  </si>
  <si>
    <t>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84DD17608498FE020007002E00010000000282010000000000000000000000000000000000001000000F84AD1A11844CFF5E84AD1A60844CFF020008002E00010000000000010000000000000000000000000000000000031000000F846801118498FE5E846801608498FE6F2800020000002E00010000000000010300000000000000000000000000000000031000000F846801118498FE5E846801608498FE6F2800040000002E0001002E00010000000000010305000000000000000000000000000000031000000F84D002118430FD5E84D002608430FD6F2800060000002E0001002E0002002E0001</t>
  </si>
  <si>
    <t>0000000000010305070000000000000000000000000000031000000F84D002118430FD5E84D002608430FD6F2800080000002E0001002E0002002E0003002E00010000000000010305070900000000000000000000000000031000000F8438041184C8FB5E8438046084C8FB6F28000A0000002E0001002E0002002E0003002E0004002E0001000000000001030507090B000000000000000000000000031000000F8438041184C8FB5E8438046084C8FB6F28000C0000002E0001002E0002002E0003002E0004002E0005002E0001000000000001030507090B0D0000000000000000000000031000000F84A005118460FA5E84A005608460FA6F28000E0000002E0001002E0002002E0003002E0004002E0005002E0006002E0001000000000001030507090B0D0F00000000000000000000031000000F84A005118460FA5E84A005608460FA6F2800100000002E0001002E0002002E0003002E0004002E0005002E0006002E0007002E0001000000000001030507090B0D0F11000000000000000000031000000F8408071184F8F85E8408076084F8F86F2800120000002E0001002E0002002E0003002E0004002E0005002E0006002E0007002E0008002E00010000000000010000000000000000000000000000000000031000000F84D002118498FE5E84D002608498FE6F280002000000</t>
  </si>
  <si>
    <t>2E00060000000004010300000000000000000000000000000000031000000F8484031184E4FD5E8484036084E4FD6F2800030000002E000100020000000004010305000000000000000000000000000000031000000F843804118430FD5E843804608430FD6F2800050000002E0001002E000200010000000004010305070000000000000000000000000000031000000F843804118430FD5E843804608430FD6F2800070000002E0001002E0002002E000300010000000004010305070900000000000000000000000000031000000F84A0051184C8FB5E84A0056084C8FB6F2800090000002E0001002E0002002E0003002E00040001000000000401030507090B000000000000000000000000031000000F84A0051184C8FB5E84A0056084C8FB6F28000B0000002E0001002E0002002E0003002E0004002E00050001000000000401030507090B0D0000000000000000000000031000000F840807118460FA5E840807608460FA6F28000D0000002E0001002E0002002E0003002E0004002E0005002E00060001000000000401030507090B0D0F00000000000000000000031000000F840807118460FA5E840807608460FA6F28000F0000002E0001002E0002002E0003002E0004002E0005002E0006002E00070001000000000401030507090B0D0F11000000000000000000031000000F</t>
  </si>
  <si>
    <t>8470081184F8F85E8470086084F8F86F2800110000002E0001002E0002002E0003002E0004002E0005002E0006002E0007002E000800010000000000010000000000000000000000000000000000031000000F842C04118498FE5E842C04608498FE6F2800020000002900010000000480010000000000000000000000000000000000001000000F84FC06118498FE5E84FC06608498FE020001002E00010000000282010000000000000000000000000000000000001000000F84CC0911844CFF5E84CC0960844CFF020002002E00010000000080010000000000000000000000000000000000001000000F849C0C118498FE5E849C0C608498FE020003002E00010000000480010000000000000000000000000000000000001000000F846C0F118498FE5E846C0F608498FE020004002E00010000000282010000000000000000000000000000000000001000000F843C1211844CFF5E843C1260844CFF020005002E00010000000080010000000000000000000000000000000000001000000F840C15118498FE5E840C15608498FE020006002E00010000000480010000000000000000000000000000000000001000000F84DC17118498FE5E84DC17608498FE020007002E00010000000282010000000000000000000000000000000000001000000F84AC1A11844CFF5E84AC1A60844C</t>
  </si>
  <si>
    <t>FF020008002E000100000017000000000000000000000000000000000000000B1000000F840705118498FE5E840705608498FE4F4A0100514A01006F280001002DF00100000017800000000000000000000000000000000000000F1000000F84D707118498FE5E84D707608498FE4F4A0600514A06005E4A06006F280001006F000100000017800000000000000000000000000000000000000B1000000F84A70A118498FE5E84A70A608498FE4F4A0700514A07006F28000100A7F00100000017800000000000000000000000000000000000000B1000000F84770D118498FE5E84770D608498FE4F4A0100514A01006F28000100B7F00100000017800000000000000000000000000000000000000F1000000F844710118498FE5E844710608498FE4F4A0600514A06005E4A06006F280001006F000100000017800000000000000000000000000000000000000B1000000F841713118498FE5E841713608498FE4F4A0700514A07006F28000100A7F00100000017800000000000000000000000000000000000000B1000000F84E715118498FE5E84E715608498FE4F4A0100514A01006F28000100B7F00100000017800000000000000000000000000000000000000F1000000F84B718118498FE5E84B718608498FE4F4A0600514A06005E4A06006F280001006F00010000001780000000</t>
  </si>
  <si>
    <t>0000000000000000000000000000000B1000000F84871B118498FE5E84871B608498FE4F4A0700514A07006F28000100A7F00100000017000000000000000000000000000000000000000B1000000F849405118498FE5E849405608498FE4F4A0100514A01006F280001002DF00100000017800000000000000000000000000000000000000F1000000F846408118498FE5E846408608498FE4F4A0600514A06005E4A06006F280001006F000100000017800000000000000000000000000000000000000B1000000F84340B118498FE5E84340B608498FE4F4A0700514A07006F28000100A7F00100000017800000000000000000000000000000000000000B1000000F84040E118498FE5E84040E608498FE4F4A0100514A01006F28000100B7F00100000017800000000000000000000000000000000000000F1000000F84D410118498FE5E84D410608498FE4F4A0600514A06005E4A06006F280001006F000100000017800000000000000000000000000000000000000B1000000F84A413118498FE5E84A413608498FE4F4A0700514A07006F28000100A7F00100000017800000000000000000000000000000000000000B1000000F847416118498FE5E847416608498FE4F4A0100514A01006F28000100B7F00100000017800000000000000000000000000000000000000F1000000F</t>
  </si>
  <si>
    <t>844419118498FE5E844419608498FE4F4A0600514A06005E4A06006F280001006F000100000017800000000000000000000000000000000000000B1000000F84141C118498FE5E84141C608498FE4F4A0700514A07006F28000100A7F0010000000000010000000000000000000000000000000000001000000F84D002118498FE5E84D002608498FE020000002900010000000480010000000000000000000000000000000000001000000F84A005118498FE5E84A005608498FE020001002E00010000000282010000000000000000000000000000000000001000000F84700811844CFF5E84700860844CFF020002002E00010000000080010000000000000000000000000000000000001000000F84400B118498FE5E84400B608498FE020003002E00010000000480010000000000000000000000000000000000001000000F84100E118498FE5E84100E608498FE020004002E00010000000282010000000000000000000000000000000000001000000F84E01011844CFF5E84E01060844CFF020005002E00010000000080010000000000000000000000000000000000001000000F84B013118498FE5E84B013608498FE020006002E00010000000480010000000000000000000000000000000000001000000F848016118498FE5E848016608498FE020007002E0001000000028201</t>
  </si>
  <si>
    <t>0000000000000000000000000000000000001000000F84501911844CFF5E84501960844CFF020008002E00010000000000010000000000000000000000000000000000001000000F849505118498FE5E849505608498FE020000002E00010000000004010300000000000000000000000000000000031000000F849505118498FE5E849505608498FE6F2800040000002E0001002E00010000000004010305000000000000000000000000000000031000000F84FD06118430FD5E84FD06608430FD6F2800060000002E0001002E0002002E00010000000004010305070000000000000000000000000000031000000F84FD06118430FD5E84FD06608430FD6F2800080000002E0001002E0002002E0003002E00010000000004010305070900000000000000000000000000031000000F8465081184C8FB5E8465086084C8FB6F28000A0000002E0001002E0002002E0003002E0004002E0001000000000401030507090B000000000000000000000000031000000F8465081184C8FB5E8465086084C8FB6F28000C0000002E0001002E0002002E0003002E0004002E0005002E0001000000000401030507090B0D0000000000000000000000031000000F84CD09118460FA5E84CD09608460FA6F28000E0000002E0001002E0002002E0003002E0004002E0005002E0006002E000100000000</t>
  </si>
  <si>
    <t>0401030507090B0D0F00000000000000000000031000000F84CD09118460FA5E84CD09608460FA6F2800100000002E0001002E0002002E0003002E0004002E0005002E0006002E0007002E0001000000000401030507090B0D0F11000000000000000000031000000F84350B1184F8F85E84350B6084F8F86F2800120000002E0001002E0002002E0003002E0004002E0005002E0006002E0007002E0008002E000100000017000000000000000000000000000000000000000B1000000F84D002118498FE5E84D002608498FE4F4A0700514A07006F28000100A7F00100000017800000000000000000000000000000000000000F1000000F84A005118498FE5E84A005608498FE4F4A0600514A06005E4A06006F280001006F000100000017800000000000000000000000000000000000000B1000000F847008118498FE5E847008608498FE4F4A0700514A07006F28000100A7F00100000017800000000000000000000000000000000000000B1000000F84400B118498FE5E84400B608498FE4F4A0100514A01006F28000100B7F00100000017800000000000000000000000000000000000000F1000000F84100E118498FE5E84100E608498FE4F4A0600514A06005E4A06006F280001006F000100000017800000000000000000000000000000000000000B1000000F84E010118498FE</t>
  </si>
  <si>
    <t>5E84E010608498FE4F4A0700514A07006F28000100A7F00100000017800000000000000000000000000000000000000B1000000F84B013118498FE5E84B013608498FE4F4A0100514A01006F28000100B7F00100000017800000000000000000000000000000000000000F1000000F848016118498FE5E848016608498FE4F4A0600514A06005E4A06006F280001006F000100000017800000000000000000000000000000000000000B1000000F845019118498FE5E845019608498FE4F4A0700514A07006F28000100A7F0010000000000010000000000000000000000000000000000031000000F842D04118498FE5E842D04608498FE6F2800020000002900010000000480010000000000000000000000000000000000001000000F84A005118498FE5E84A005608498FE020001002E00010000000282010000000000000000000000000000000000001000000F84700811844CFF5E84700860844CFF020002002E00010000000080010000000000000000000000000000000000001000000F84400B118498FE5E84400B608498FE020003002E00010000000480010000000000000000000000000000000000001000000F84100E118498FE5E84100E608498FE020004002E00010000000282010000000000000000000000000000000000001000000F84E01011844CFF5E84E01060844C</t>
  </si>
  <si>
    <t>FF020005002E00010000000080010000000000000000000000000000000000001000000F84B013118498FE5E84B013608498FE020006002E00010000000480010000000000000000000000000000000000001000000F848016118498FE5E848016608498FE020007002E00010000000282010000000000000000000000000000000000001000000F84501911844CFF5E84501960844CFF020008002E000100000017000000000000000000000000000000000000000B1000000F84D002118498FE5E84D002608498FE4F4A0100514A01006F28000100B7F00100000017800000000000000000000000000000000000000F1000000F84A005118498FE5E84A005608498FE4F4A0600514A06005E4A06006F280001006F000100000017800000000000000000000000000000000000000B1000000F847008118498FE5E847008608498FE4F4A0700514A07006F28000100A7F00100000017800000000000000000000000000000000000000B1000000F84400B118498FE5E84400B608498FE4F4A0100514A01006F28000100B7F00100000017800000000000000000000000000000000000000F1000000F84100E118498FE5E84100E608498FE4F4A0600514A06005E4A06006F280001006F000100000017800000000000000000000000000000000000000B1000000F84E010118498FE5E84E010</t>
  </si>
  <si>
    <t>608498FE4F4A0700514A07006F28000100A7F00100000017800000000000000000000000000000000000000B1000000F84B013118498FE5E84B013608498FE4F4A0100514A01006F28000100B7F00100000017800000000000000000000000000000000000000F1000000F848016118498FE5E848016608498FE4F4A0600514A06005E4A06006F280001006F000100000017800000000000000000000000000000000000000B1000000F845019118498FE5E845019608498FE4F4A0700514A07006F28000100A7F0010000000000010000000000000000000000000000000000001000000F84A005118498FE5E84A005608498FE020000002E00010000000000010000000000000000000000000000000000031000000F847008118498FE5E847008608498FE6F2800040001002E0031002E00010000000282010000000000000000000000000000000000001000000F84400B11844CFF5E84400B60844CFF020002002E00010000000080010000000000000000000000000000000000001000000F84100E118498FE5E84100E608498FE020003002E00010000000480010000000000000000000000000000000000001000000F84E010118498FE5E84E010608498FE020004002E00010000000282010000000000000000000000000000000000001000000F84B01311844CFF5E84B01360844C</t>
  </si>
  <si>
    <t>FF020005002E00010000000080010000000000000000000000000000000000001000000F848016118498FE5E848016608498FE020006002E00010000000480010000000000000000000000000000000000001000000F845019118498FE5E845019608498FE020007002E00010000000282010000000000000000000000000000000000001000000F84201C11844CFF5E84201C60844CFF020008002E00010000000000010000000000000000000000000000000000031000000F84D002118498FE5E84D002608498FE6F2800020000002900010000000400010000000000000000000000000000000000001000000F84A005118498FE5E84A005608498FE020001002E00010000000282010000000000000000000000000000000000001000000F84700811844CFF5E84700860844CFF020002002E00010000000080010000000000000000000000000000000000001000000F84400B118498FE5E84400B608498FE020003002E00010000000480010000000000000000000000000000000000001000000F84100E118498FE5E84100E608498FE020004002E00010000000282010000000000000000000000000000000000001000000F84E01011844CFF5E84E01060844CFF020005002E00010000000080010000000000000000000000000000000000001000000F84B013118498FE5E84B013</t>
  </si>
  <si>
    <t>608498FE020006002E00010000000480010000000000000000000000000000000000001000000F848016118498FE5E848016608498FE020007002E00010000000282010000000000000000000000000000000000001000000F84501911844CFF5E84501960844CFF020008002E00010000000000010000000000000000000000000000000000031000000F842D04118498FE5E842D04608498FE6F2800020000002E00010000000480010000000000000000000000000000000000001000000F84FD06118498FE5E84FD06608498FE020001002E00010000000282010000000000000000000000000000000000001000000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</t>
  </si>
  <si>
    <t>84DD17608498FE020007002E00010000000282010000000000000000000000000000000000001000000F84AD1A11844CFF5E84AD1A60844CFF020008002E000100000017000000000000000000000000000000000000000B1000000F840705118498FE5E840705608498FE4F4A0100514A01006F280001002DF00100000017800000000000000000000000000000000000000F1000000F84D707118498FE5E84D707608498FE4F4A0600514A06005E4A06006F280001006F000100000017800000000000000000000000000000000000000B1000000F84A70A118498FE5E84A70A608498FE4F4A0700514A07006F28000100A7F00100000017800000000000000000000000000000000000000B1000000F84770D118498FE5E84770D608498FE4F4A0100514A01006F28000100B7F00100000017800000000000000000000000000000000000000F1000000F844710118498FE5E844710608498FE4F4A0600514A06005E4A06006F280001006F000100000017800000000000000000000000000000000000000B1000000F841713118498FE5E841713608498FE4F4A0700514A07006F28000100A7F00100000017800000000000000000000000000000000000000B1000000F84E715118498FE5E84E715608498FE4F4A0100514A01006F28000100B7F001000000178000000000000000000000</t>
  </si>
  <si>
    <t>00000000000000000F1000000F84B718118498FE5E84B718608498FE4F4A0600514A06005E4A06006F280001006F000100000017800000000000000000000000000000000000000B1000000F84871B118498FE5E84871B608498FE4F4A0700514A07006F28000100A7F0010000000000010000000000000000000000000000000000031000000F84BB04118498FE5E84BB04608498FE6F2800020000002900010000000480010000000000000000000000000000000000001000000F842E06118498FE5E842E06608498FE020001002E00010000000282010000000000000000000000000000000000001000000F84FE0811844CFF5E84FE0860844CFF020002002E00010000000080010000000000000000000000000000000000001000000F84CE0B118498FE5E84CE0B608498FE020003002E00010000000480010000000000000000000000000000000000001000000F849E0E118498FE5E849E0E608498FE020004002E00010000000282010000000000000000000000000000000000001000000F846E1111844CFF5E846E1160844CFF020005002E00010000000080010000000000000000000000000000000000001000000F843E14118498FE5E843E14608498FE020006002E00010000000480010000000000000000000000000000000000001000000F840E17118498FE5E840E1760</t>
  </si>
  <si>
    <t>8498FE020007002E00010000000282010000000000000000000000000000000000001000000F84DE1911844CFF5E84DE1960844CFF020008002E00010000000000010000000000000000000000000000000000031000000F840000118400005E840000608400006F2800020000002E00010000000000010300000000000000020000000000000000031000000F840000118400005E840000608400006F2800030000002E000100010000000000010305000000000000020000000000000000031000000F840000118400005E840000608400006F2800050000002E0001002E000200010000000000010305070000000000020000000000000000031000000F840000118400005E840000608400006F2800070001002E0000002E0002002E000300010000000000010305070900000000020000000000000000031000000F840000118400005E840000608400006F2800090000002E0003002E0002002E0001002E00040001000000000001030507090B000000020000000000000000031000000F840000118400005E840000608400006F28000B0005002E0004002E0003002E0002002E0001002E000000010000000000010000000000000000000000000000000000031800000F84D809118498FE15C6050001D809065E84D809608498FE6F2800010006000100000000000100000000000000</t>
  </si>
  <si>
    <t>00000000000000000000031800000F84400B118498FE15C6050001400B065E84400B608498FE6F280001000700010000000000010000000000000000000000000000000000031800000F84A80C118498FE15C6050001A80C065E84A80C608498FE6F280001000800010000000000010000000000000000000000000000000000031000000F842D04118498FE5E842D04608498FE6F2800020000002900010000000480010000000000000000000000000000000000001000000F84FD06118498FE5E84FD06608498FE020001002E00010000000282010000000000000000000000000000000000001000000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84DD17608498</t>
  </si>
  <si>
    <t>FE020007002E00010000000282010000000000000000000000000000000000001000000F84AD1A11844CFF5E84AD1A60844CFF020008002E00010000000000010000000000000000000000000000000000001000000F846801118498FE5E846801608498FE020000002E00010000000000010300000000000000000000000000000000001000000F841803118450FE5E841803608450FE040000002E0001002E00010000000000010305000000000000000000000000000000001000000F84C804118408FE5E84C804608408FE060000002E0001002E0002002E00010000000000010305070000000000000000000000000000001000000F84C006118478FD5E84C006608478FD080000002E0001002E0002002E0003002E00010000000000010305070900000000000000000000000000001000000F84B8081184E8FC5E84B8086084E8FC0A0000002E0001002E0002002E0003002E0004002E0001000000000001030507090B000000000000000000000000001000000F84B00A118458FC5E84B00A608458FC0C0000002E0001002E0002002E0003002E0004002E0005002E0001000000000001030507090B0D0000000000000000000000001000000F84A80C1184C8FB5E84A80C6084C8FB0E0000002E0001002E0002002E0003002E0004002E0005002E0006002E00010000000000010305</t>
  </si>
  <si>
    <t>07090B0D0F00000000000000000000001000000F84A00E118438FB5E84A00E608438FB100000002E0001002E0002002E0003002E0004002E0005002E0006002E0007002E0001000000000001030507090B0D0F11000000000000000000001000000F84E010118460FA5E84E010608460FA120000002E0001002E0002002E0003002E0004002E0005002E0006002E0007002E0008002E00010000000000010000000000000000000000000000000000031000000F84A40111845CFE5E84A40160845CFE6F2800020000002E00010000000000010300000000000000000000000000000000031000000F84A40111845CFE5E84A40160845CFE6F2800040000002E0001002E00010000000000010305000000000000000000000000000000031000000F84D002118430FD5E84D002608430FD6F2800060000002E0001002E0002002E00010000000000010305070000000000000000000000000000031000000F84D002118430FD5E84D002608430FD6F2800080000002E0001002E0002002E0003002E00010000000000010305070900000000000000000000000000031000000F8438041184C8FB5E8438046084C8FB6F28000A0000002E0001002E0002002E0003002E0004002E0001000000000001030507090B000000000000000000000000031000000F8438041184C8FB5E8438046084C8FB</t>
  </si>
  <si>
    <t>6F28000C0000002E0001002E0002002E0003002E0004002E0005002E0001000000000001030507090B0D0000000000000000000000031000000F84A005118460FA5E84A005608460FA6F28000E0000002E0001002E0002002E0003002E0004002E0005002E0006002E0001000000000001030507090B0D0F00000000000000000000031000000F84A005118460FA5E84A005608460FA6F2800100000002E0001002E0002002E0003002E0004002E0005002E0006002E0007002E0001000000000001030507090B0D0F11000000000000000000031000000F8408071184F8F85E8408076084F8F86F2800120000002E0001002E0002002E0003002E0004002E0005002E0006002E0007002E0008002E00010000000000010000000000000000000000000000000000031000000F849505118498FE5E849505608498FE6F2800020000002E00010000000480010000000000000000000000000000000000001000000F846508118498FE5E846508608498FE020001002E00010000000282010000000000000000000000000000000000001000000F84350B11844CFF5E84350B60844CFF020002002E00010000000080010000000000000000000000000000000000001000000F84050E118498FE5E84050E608498FE020003002E0001000000048001000000000000000000000000000000000000</t>
  </si>
  <si>
    <t>1000000F84D510118498FE5E84D510608498FE020004002E00010000000282010000000000000000000000000000000000001000000F84A51311844CFF5E84A51360844CFF020005002E00010000000080010000000000000000000000000000000000001000000F847516118498FE5E847516608498FE020006002E00010000000480010000000000000000000000000000000000001000000F844519118498FE5E844519608498FE020007002E00010000000282010000000000000000000000000000000000001000000F84151C11844CFF5E84151C60844CFF020008002E00010000000000010000000000000000000000000000000000101000000F84D002118498FE5E84D002608498FE4F4A0000504A0000514A00005E4A0000020000002900010000000480010000000000000000000000000000000000001000000F84A005118498FE5E84A005608498FE020001002E00010000000282010000000000000000000000000000000000001000000F84700811844CFF5E84700860844CFF020002002E00010000000080010000000000000000000000000000000000001000000F84400B118498FE5E84400B608498FE020003002E00010000000480010000000000000000000000000000000000001000000F84100E118498FE5E84100E608498FE020004002E00010000000282010000</t>
  </si>
  <si>
    <t>000000000000000000000000000000001000000F84E01011844CFF5E84E01060844CFF020005002E00010000000080010000000000000000000000000000000000001000000F84B013118498FE5E84B013608498FE020006002E00010000000480010000000000000000000000000000000000001000000F848016118498FE5E848016608498FE020007002E00010000000282010000000000000000000000000000000000001000000F84501911844CFF5E84501960844CFF020008002E00010000000000010000000000000000000000000000000000071000000F843804118498FE5E843804608498FE5E4A00006F2800020000002E00010000000400010000000000000000000000000000000000001000000F840807118498FE5E840807608498FE020001002E00010000000282010000000000000000000000000000000000001000000F84D80911844CFF5E84D80960844CFF020002002E00010000000080010000000000000000000000000000000000001000000F84A80C118498FE5E84A80C608498FE020003002E00010000000480010000000000000000000000000000000000001000000F84780F118498FE5E84780F608498FE020004002E00010000000282010000000000000000000000000000000000001000000F84481211844CFF5E84481260844CFF020005002E000100</t>
  </si>
  <si>
    <t>00000080010000000000000000000000000000000000001000000F841815118498FE5E841815608498FE020006002E00010000000480010000000000000000000000000000000000001000000F84E817118498FE5E84E817608498FE020007002E00010000000282010000000000000000000000000000000000001000000F84B81A11844CFF5E84B81A60844CFF020008002E00010000000000010000000000000000000000000000000000001000000F846801118498FE5E846801608498FE020000002E00010000000000010300000000000000000000000000000000001000000F841803118450FE5E841803608450FE040000002E0001002E00010000000000010305000000000000000000000000000000001000000F84C804118408FE5E84C804608408FE060000002E0001002E0002002E00010000000000010305070000000000000000000000000000001000000F84C006118478FD5E84C006608478FD080000002E0001002E0002002E0003002E00010000000000010305070900000000000000000000000000001000000F84B8081184E8FC5E84B8086084E8FC0A0000002E0001002E0002002E0003002E0004002E0001000000000001030507090B000000000000000000000000001000000F84B00A118458FC5E84B00A608458FC0C0000002E0001002E0002002E0003002E00</t>
  </si>
  <si>
    <t>04002E0005002E0001000000000001030507090B0D0000000000000000000000001000000F84A80C1184C8FB5E84A80C6084C8FB0E0000002E0001002E0002002E0003002E0004002E0005002E0006002E0001000000000001030507090B0D0F00000000000000000000001000000F84A00E118438FB5E84A00E608438FB100000002E0001002E0002002E0003002E0004002E0005002E0006002E0007002E0001000000000001030507090B0D0F11000000000000000000001000000F84E010118460FA5E84E010608460FA120000002E0001002E0002002E0003002E0004002E0005002E0006002E0007002E0008002E00010000000000010000000000000000000000000000000000031000000F843804118498FE5E843804608498FE6F2800020000002E00070000000004010300000000000000000000000000000000031000000F843804118498FE5E843804608498FE6F2800040000002E0001002E00010000000004010305000000000000000000000000000000031000000F84A005118430FD5E84A005608430FD6F2800060000002E0001002E0002002E00010000000004010305070000000000000000000000000000031000000F84A005118430FD5E84A005608430FD6F2800080000002E0001002E0002002E0003002E0001000000000401030507090000000000000000000000</t>
  </si>
  <si>
    <t>0000031000000F8408071184C8FB5E8408076084C8FB6F28000A0000002E0001002E0002002E0003002E0004002E0001000000000401030507090B000000000000000000000000031000000F8408071184C8FB5E8408076084C8FB6F28000C0000002E0001002E0002002E0003002E0004002E0005002E0001000000000401030507090B0D0000000000000000000000031000000F847008118460FA5E847008608460FA6F28000E0000002E0001002E0002002E0003002E0004002E0005002E0006002E0001000000000401030507090B0D0F00000000000000000000031000000F847008118460FA5E847008608460FA6F2800100000002E0001002E0002002E0003002E0004002E0005002E0006002E0007002E0001000000000401030507090B0D0F11000000000000000000031000000F84D8091184F8F85E84D8096084F8F86F2800120000002E0001002E0002002E0003002E0004002E0005002E0006002E0007002E0008002E00010000000000010000000000000000000000000000000000031000000F84D002118498FE5E84D002608498FE6F2800020000002E00010000000004010300000000000000000000000000000000031000000F849F03118498FE5E849F03608498FE6F2800040000002E0001002E00010000000004010305000000000000000000000000000000031000</t>
  </si>
  <si>
    <t>000F842306118430FD5E842306608430FD6F2800060000002E0001002E0002002E00010000000004010305070000000000000000000000000000031000000F84A506118430FD5E84A506608430FD6F2800080000002E0001002E0002002E0003002E00010000000004010305070900000000000000000000000000031000000F84DC081184C8FB5E84DC086084C8FB6F28000A0000002E0001002E0002002E0003002E0004002E0001000000000401030507090B000000000000000000000000031000000F84AB091184C8FB5E84AB096084C8FB6F28000C0000002E0001002E0002002E0003002E0004002E0005002E0001000000000401030507090B0D0000000000000000000000031000000F84E20B118460FA5E84E20B608460FA6F28000E0000002E0001002E0002002E0003002E0004002E0005002E0006002E0001000000000401030507090B0D0F00000000000000000000031000000F84B10C118460FA5E84B10C608460FA6F2800100000002E0001002E0002002E0003002E0004002E0005002E0006002E0007002E0001000000000401030507090B0D0F11000000000000000000031000000F84E80E1184F8F85E84E80E6084F8F86F2800120000002E0001002E0002002E0003002E0004002E0005002E0006002E0007002E0008002E0001000000000001000000000000000000</t>
  </si>
  <si>
    <t>0000000000000000001000000F846801118498FE5E846801608498FE020000002E00010000000000010300000000000000000000000000000000001000000F841803118450FE5E841803608450FE040000002E0001002E00010000000000010305000000000000000000000000000000001000000F84C804118408FE5E84C804608408FE060000002E0001002E0002002E00010000000000010305070000000000000000000000000000001000000F84C006118478FD5E84C006608478FD080000002E0001002E0002002E0003002E00010000000000010305070900000000000000000000000000001000000F84B8081184E8FC5E84B8086084E8FC0A0000002E0001002E0002002E0003002E0004002E0001000000000001030507090B000000000000000000000000001000000F84B00A118458FC5E84B00A608458FC0C0000002E0001002E0002002E0003002E0004002E0005002E0001000000000001030507090B0D0000000000000000000000001000000F84A80C1184C8FB5E84A80C6084C8FB0E0000002E0001002E0002002E0003002E0004002E0005002E0006002E0001000000000001030507090B0D0F00000000000000000000001000000F84A00E118438FB5E84A00E608438FB100000002E0001002E0002002E0003002E0004002E0005002E0006002E0007002E0001000000</t>
  </si>
  <si>
    <t>000001030507090B0D0F11000000000000000000001000000F84E010118460FA5E84E010608460FA120000002E0001002E0002002E0003002E0004002E0005002E0006002E0007002E0008002E00010000000000010000000000000000000000000000000000031000000F842D04118498FE5E842D04608498FE6F2800020000002900010000000480010000000000000000000000000000000000001000000F84FD06118498FE5E84FD06608498FE020001002E00010000000282010000000000000000000000000000000000001000000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84DD17608498FE020007002E0001000000028201000000000000000000000000</t>
  </si>
  <si>
    <t>0000000000001000000F84AD1A11844CFF5E84AD1A60844CFF020008002E00010000000000010000000000000000000000000000000000031000000F842D04118498FE5E842D04608498FE6F2800020000002900010000000480010000000000000000000000000000000000001000000F84FD06118498FE5E84FD06608498FE020001002E00010000000282010000000000000000000000000000000000001000000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84DD17608498FE020007002E00010000000282010000000000000000000000000000000000001000000F84AD1A11844CFF5E84AD1A60844CFF020008002E0001000000000001000000000000000000</t>
  </si>
  <si>
    <t>0000000000000000031000000F84A40111845CFE5E84A40160845CFE6F2800020000002E00010000000000010300000000000000000000000000000000031000000F84A40111845CFE5E84A40160845CFE6F2800040000002E0001002E00010000000000010305000000000000000000000000000000031000000F84D002118430FD5E84D002608430FD6F2800060000002E0001002E0002002E00010000000000010305070000000000000000000000000000031000000F84D002118430FD5E84D002608430FD6F2800080000002E0001002E0002002E0003002E00010000000000010305070900000000000000000000000000031000000F8438041184C8FB5E8438046084C8FB6F28000A0000002E0001002E0002002E0003002E0004002E0001000000000001030507090B000000000000000000000000031000000F8438041184C8FB5E8438046084C8FB6F28000C0000002E0001002E0002002E0003002E0004002E0005002E0001000000000001030507090B0D0000000000000000000000031000000F84A005118460FA5E84A005608460FA6F28000E0000002E0001002E0002002E0003002E0004002E0005002E0006002E0001000000000001030507090B0D0F00000000000000000000031000000F84A005118460FA5E84A005608460FA6F2800100000002E0001002E0002002E00</t>
  </si>
  <si>
    <t>03002E0004002E0005002E0006002E0007002E0001000000000001030507090B0D0F11000000000000000000031000000F8408071184F8F85E8408076084F8F86F2800120000002E0001002E0002002E0003002E0004002E0005002E0006002E0007002E0008002E00010000000000010000000000000000000000000000000000031000000F84D002118498FE5E84D002608498FE6F2800020000002E00010000000004010300000000000000000000000000000000031000000F843804118498FE5E843804608498FE6F2800040000002E0001002E00010000000004010305000000000000000000000000000000031000000F840807118430FD5E840807608430FD6F2800060000002E0001002E0002002E00010000000004010305070000000000000000000000000000031000000F847008118430FD5E847008608430FD6F2800080000002E0001002E0002002E0003002E00010000000004010305070900000000000000000000000000031000000F84400B1184C8FB5E84400B6084C8FB6F28000A0000002E0001002E0002002E0003002E0004002E0001000000000401030507090B000000000000000000000000031000000F84A80C1184C8FB5E84A80C6084C8FB6F28000C0000002E0001002E0002002E0003002E0004002E0005002E0001000000000401030507090B0D00000000</t>
  </si>
  <si>
    <t>00000000000000031000000F84780F118460FA5E84780F608460FA6F28000E0000002E0001002E0002002E0003002E0004002E0005002E0006002E0001000000000401030507090B0D0F00000000000000000000031000000F84E010118460FA5E84E010608460FA6F2800100000002E0001002E0002002E0003002E0004002E0005002E0006002E0007002E0001000000000401030507090B0D0F11000000000000000000031000000F84B0131184F8F85E84B0136084F8F86F2800120000002E0001002E0002002E0003002E0004002E0005002E0006002E0007002E0008002E00010000000000010000000000000000000000000000000000031000000F842D04118498FE5E842D04608498FE6F2800020000002E00010000000480010000000000000000000000000000000000001000000F84FD06118498FE5E84FD06608498FE020001002E00010000000282010000000000000000000000000000000000001000000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</t>
  </si>
  <si>
    <t>000000001000000F843D1211844CFF5E843D1260844CFF020005002E00010000000080010000000000000000000000000000000000001000000F840D15118498FE5E840D15608498FE020006002E00010000000480010000000000000000000000000000000000001000000F84DD17118498FE5E84DD17608498FE020007002E00010000000282010000000000000000000000000000000000001000000F84AD1A11844CFF5E84AD1A60844CFF020008002E00010000000000010000000000000000000000000000000000031000000F842D04118498FE5E842D04608498FE6F2800020000002900010000000480010000000000000000000000000000000000001000000F84A005118498FE5E84A005608498FE020001002E00010000000282010000000000000000000000000000000000001000000F84700811844CFF5E84700860844CFF020002002E00010000000080010000000000000000000000000000000000001000000F84400B118498FE5E84400B608498FE020003002E00010000000480010000000000000000000000000000000000001000000F84100E118498FE5E84100E608498FE020004002E00010000000282010000000000000000000000000000000000001000000F84E01011844CFF5E84E01060844CFF020005002E00010000000080010000000000000000000000</t>
  </si>
  <si>
    <t>000000000000001000000F84B013118498FE5E84B013608498FE020006002E00010000000480010000000000000000000000000000000000001000000F848016118498FE5E848016608498FE020007002E00010000000282010000000000000000000000000000000000001000000F84501911844CFF5E84501960844CFF020008002E00010000000000010000000000000000000000000000000000071000000F84BB04118498FE5E84BB04608498FE5E4A00006F2800020000002E00010000000480010000000000000000000000000000000000041000000F848B07118498FE5E848B07608498FE5E4A0000020001002E00010000000282010000000000000000000000000000000000041000000F845B0A11844CFF5E845B0A60844CFF5E4A0000020002002E00010000000080010000000000000000000000000000000000041000000F842B0D118498FE5E842B0D608498FE5E4A0000020003002E00010000000480010000000000000000000000000000000000041000000F84FB0F118498FE5E84FB0F608498FE5E4A0000020004002E00010000000282010000000000000000000000000000000000041000000F84CB1211844CFF5E84CB1260844CFF5E4A0000020005002E00010000000080010000000000000000000000000000000000041000000F849B15118498FE5E849B1560</t>
  </si>
  <si>
    <t>8498FE5E4A0000020006002E00010000000480010000000000000000000000000000000000041000000F846B18118498FE5E846B18608498FE5E4A0000020007002E00010000000282010000000000000000000000000000000000041000000F843B1B11844CFF5E843B1B60844CFF5E4A0000020008002E000100000017080000000000000000000000000000000000001E1800000F842F011184390015C60500016801065E842F0160843900350800360800422A00434A18004F4A0700514A07006F28007068000000FF0100A7F00100000017800000000000000000000000000000000000000F1800000F84A005118498FE15C6050001A005065E84A005608498FE4F4A0600514A06005E4A06006F280001006F000100000017800000000000000000000000000000000000000B1800000F847008118498FE15C60500017008065E847008608498FE4F4A0700514A07006F28000100A7F00100000017800000000000000000000000000000000000000B1800000F84400B118498FE15C6050001400B065E84400B608498FE4F4A0100514A01006F28000100B7F00100000017800000000000000000000000000000000000000F1800000F84100E118498FE15C6050001100E065E84100E608498FE4F4A0600514A06005E4A06006F280001006F000100000017800000000000000000000000</t>
  </si>
  <si>
    <t>000000000000000B1800000F84E010118498FE15C6050001E010065E84E010608498FE4F4A0700514A07006F28000100A7F00100000017800000000000000000000000000000000000000B1800000F84B013118498FE15C6050001B013065E84B013608498FE4F4A0100514A01006F28000100B7F00100000017800000000000000000000000000000000000000F1800000F848016118498FE15C60500018016065E848016608498FE4F4A0600514A06005E4A06006F280001006F000100000017800000000000000000000000000000000000000B1800000F845019118498FE15C60500015019065E845019608498FE4F4A0700514A07006F28000100A7F0010000000000010000000000000000000000000000000000001000000F846801118498FE5E846801608498FE020000002E00010000000000010300000000000000000000000000000000001000000F841803118450FE5E841803608450FE040000002E0001002E00010000000000010305000000000000000000000000000000001000000F84C804118408FE5E84C804608408FE060000002E0001002E0002002E00010000000000010305070000000000000000000000000000001000000F84C006118478FD5E84C006608478FD080000002E0001002E0002002E0003002E00010000000000010305070900000000000000000000</t>
  </si>
  <si>
    <t>000000001000000F84B8081184E8FC5E84B8086084E8FC0A0000002E0001002E0002002E0003002E0004002E0001000000000001030507090B000000000000000000000000001000000F84B00A118458FC5E84B00A608458FC0C0000002E0001002E0002002E0003002E0004002E0005002E0001000000000001030507090B0D0000000000000000000000001000000F84A80C1184C8FB5E84A80C6084C8FB0E0000002E0001002E0002002E0003002E0004002E0005002E0006002E0001000000000001030507090B0D0F00000000000000000000001000000F84A00E118438FB5E84A00E608438FB100000002E0001002E0002002E0003002E0004002E0005002E0006002E0007002E0001000000000001030507090B0D0F11000000000000000000001000000F84E010118460FA5E84E010608460FA120000002E0001002E0002002E0003002E0004002E0005002E0006002E0007002E0008002E00010000000000010000000000000000000000000000000000301800000F8400001184000015C60500016801065E840000608400003508013608003708003808003908003B08013C0800434A1800482A004F4A0000514A0000532A005408005808006F2800020000002E00010000000000010300000000000000000000000000000000301800000F8476021184000015C6050001DE03065E</t>
  </si>
  <si>
    <t>847602608400003508013608003708003808003908003B08003C0800434A1800482A004F4A0000514A0000532A005408005808006F2800040000002E0001002E00010000000000010305000000000000000000000000000000361800000F8476021184000015C60500014605065E847602608400003508003608003708003908003B08003C0800422A00434A1800482A004F4A0000514A0000532A005408005808006F28007068000000FF060000002E0001002E0002002E00010000000000010305070000000000000000000000000000031800000F84C006118478FD15C60500010807065E84C006608478FD6F2800080000002E0001002E0002002E0003002E00010000000000010305070900000000000000000000000000031800000F84B8081184E8FC15C6050001D809065E84B8086084E8FC6F28000A0000002E0001002E0002002E0003002E0004002E0001000000000001030507090B000000000000000000000000031800000F84B00A118458FC15C6050001400B065E84B00A608458FC6F28000C0000002E0001002E0002002E0003002E0004002E0005002E0001000000000001030507090B0D0000000000000000000000031800000F84A80C1184C8FB15C6050001100E065E84A80C6084C8FB6F28000E0000002E0001002E0002002E0003002E0004002E0005002E0006002E</t>
  </si>
  <si>
    <t>0001000000000001030507090B0D0F00000000000000000000031800000F84A00E118438FB15C6050001780F065E84A00E608438FB6F2800100000002E0001002E0002002E0003002E0004002E0005002E0006002E0007002E0001000000000001030507090B0D0F11000000000000000000031800000F84E010118460FA15C60500014812065E84E010608460FA6F2800120000002E0001002E0002002E0003002E0004002E0005002E0006002E0007002E0008002E00010000000000010000000000000000000000000000000000031000000F842D04118498FE5E842D04608498FE6F2800020000002900010000000480010000000000000000000000000000000000001000000F84FD06118498FE5E84FD06608498FE020001002E00010000000282010000000000000000000000000000000000001000000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</t>
  </si>
  <si>
    <t>00000000000000000000001000000F840D15118498FE5E840D15608498FE020006002E00010000000480010000000000000000000000000000000000001000000F84DD17118498FE5E84DD17608498FE020007002E00010000000282010000000000000000000000000000000000001000000F84AD1A11844CFF5E84AD1A60844CFF020008002E00010000000000010000000000000000000000000000000000031000000F84D002118498FE5E84D002608498FE6F2800020000002900010000000480010000000000000000000000000000000000001000000F84A005118498FE5E84A005608498FE020001002E00010000000282010000000000000000000000000000000000001000000F84700811844CFF5E84700860844CFF020002002E00010000000080010000000000000000000000000000000000001000000F84400B118498FE5E84400B608498FE020003002E00010000000480010000000000000000000000000000000000001000000F84100E118498FE5E84100E608498FE020004002E00010000000282010000000000000000000000000000000000001000000F84E01011844CFF5E84E01060844CFF020005002E00010000000080010000000000000000000000000000000000001000000F84B013118498FE5E84B013608498FE020006002E000100000004800100000000</t>
  </si>
  <si>
    <t>00000000000000000000000000001000000F848016118498FE5E848016608498FE020007002E00010000000282010000000000000000000000000000000000001000000F84501911844CFF5E84501960844CFF020008002E00010000000000010000000000000000000000000000000000031000000F842D04118498FE5E842D04608498FE6F2800020000002E00010000000480010000000000000000000000000000000000001000000F84FD06118498FE5E84FD06608498FE020001002E00010000000282010000000000000000000000000000000000001000000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84DD17608498FE020007002E000100000002820100</t>
  </si>
  <si>
    <t>00000000000000000000000000000000001000000F84AD1A11844CFF5E84AD1A60844CFF020008002E00010000000000010000000000000000000000000000000000001000000F84D002118498FE5E84D002608498FE020000002900010000000480010000000000000000000000000000000000001000000F84A005118498FE5E84A005608498FE020001002E00010000000282010000000000000000000000000000000000001000000F84700811844CFF5E84700860844CFF020002002E00010000000080010000000000000000000000000000000000001000000F84400B118498FE5E84400B608498FE020003002E00010000000480010000000000000000000000000000000000001000000F84100E118498FE5E84100E608498FE020004002E00010000000282010000000000000000000000000000000000001000000F84E01011844CFF5E84E01060844CFF020005002E00010000000080010000000000000000000000000000000000001000000F84B013118498FE5E84B013608498FE020006002E00010000000480010000000000000000000000000000000000001000000F848016118498FE5E848016608498FE020007002E00010000000282010000000000000000000000000000000000001000000F84501911844CFF5E84501960844CFF020008002E000100000017000000</t>
  </si>
  <si>
    <t>000000000000000000000000000000000B1000000F84A005118498FE5E84A005608498FE4F4A0100514A01006F280001002DF00100000017800000000000000000000000000000000000000F1000000F847008118498FE5E847008608498FE4F4A0600514A06005E4A06006F280001006F000100000017800000000000000000000000000000000000000B1000000F84400B118498FE5E84400B608498FE4F4A0700514A07006F28000100A7F00100000017800000000000000000000000000000000000000B1000000F84100E118498FE5E84100E608498FE4F4A0100514A01006F28000100B7F00100000017800000000000000000000000000000000000000F1000000F84E010118498FE5E84E010608498FE4F4A0600514A06005E4A06006F280001006F000100000017800000000000000000000000000000000000000B1000000F84B013118498FE5E84B013608498FE4F4A0700514A07006F28000100A7F00100000017800000000000000000000000000000000000000B1000000F848016118498FE5E848016608498FE4F4A0100514A01006F28000100B7F00100000017800000000000000000000000000000000000000F1000000F845019118498FE5E845019608498FE4F4A0600514A06005E4A06006F280001006F00010000001780000000000000000000000000000000000000</t>
  </si>
  <si>
    <t>0B1000000F84201C118498FE5E84201C608498FE4F4A0700514A07006F28000100A7F0010000000000010000000000000000000000000000000000101000000F84D002118498FE5E84D002608498FE4F4A0000504A0000514A00005E4A0000020000002900010000000480010000000000000000000000000000000000001000000F84A005118498FE5E84A005608498FE020001002E00010000000282010000000000000000000000000000000000001000000F84700811844CFF5E84700860844CFF020002002E00010000000080010000000000000000000000000000000000001000000F84400B118498FE5E84400B608498FE020003002E00010000000480010000000000000000000000000000000000001000000F84100E118498FE5E84100E608498FE020004002E00010000000282010000000000000000000000000000000000001000000F84E01011844CFF5E84E01060844CFF020005002E00010000000080010000000000000000000000000000000000001000000F84B013118498FE5E84B013608498FE020006002E00010000000480010000000000000000000000000000000000001000000F848016118498FE5E848016608498FE020007002E00010000000282010000000000000000000000000000000000001000000F84501911844CFF5E84501960844CFF020008002E</t>
  </si>
  <si>
    <t>00010000000000010000000000000000000000000000000000031000000F842D04118498FE5E842D04608498FE6F2800020000002E00010000000480010000000000000000000000000000000000001000000F84FD06118498FE5E84FD06608498FE020001002E00010000000282010000000000000000000000000000000000001000000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84DD17608498FE020007002E00010000000282010000000000000000000000000000000000001000000F84AD1A11844CFF5E84AD1A60844CFF020008002E00010000000000010000000000000000000000000000000000031000000F842C04118498FE5E842C04608498FE6F28</t>
  </si>
  <si>
    <t>00020000002E00010000000480010000000000000000000000000000000000001000000F84FC06118498FE5E84FC06608498FE020001002E00010000000282010000000000000000000000000000000000001000000F84CC0911844CFF5E84CC0960844CFF020002002E00010000000080010000000000000000000000000000000000001000000F849C0C118498FE5E849C0C608498FE020003002E00010000000480010000000000000000000000000000000000001000000F846C0F118498FE5E846C0F608498FE020004002E00010000000282010000000000000000000000000000000000001000000F843C1211844CFF5E843C1260844CFF020005002E00010000000080010000000000000000000000000000000000001000000F840C15118498FE5E840C15608498FE020006002E00010000000480010000000000000000000000000000000000001000000F84DC17118498FE5E84DC17608498FE020007002E00010000000282010000000000000000000000000000000000001000000F84AC1A11844CFF5E84AC1A60844CFF020008002E00010000000000010000000000000000000000000000000000031000000F842D04118498FE5E842D04608498FE6F2800020000002E00010000000480010000000000000000000000000000000000001000000F84FD06118498FE5E84FD06</t>
  </si>
  <si>
    <t>608498FE020001002E00010000000282010000000000000000000000000000000000001000000F84CD0911844CFF5E84CD0960844CFF020002002E00010000000080010000000000000000000000000000000000001000000F849D0C118498FE5E849D0C608498FE020003002E00010000000480010000000000000000000000000000000000001000000F846D0F118498FE5E846D0F608498FE020004002E00010000000282010000000000000000000000000000000000001000000F843D1211844CFF5E843D1260844CFF020005002E00010000000080010000000000000000000000000000000000001000000F840D15118498FE5E840D15608498FE020006002E00010000000480010000000000000000000000000000000000001000000F84DD17118498FE5E84DD17608498FE020007002E00010000000282010000000000000000000000000000000000001000000F84AD1A11844CFF5E84AD1A60844CFF020008002E000100000017000000000000000000000000000000000000000B1000000F840705118498FE5E840705608498FE4F4A0100514A01006F280001002DF00100000017800000000000000000000000000000000000000F1000000F84D707118498FE5E84D707608498FE4F4A0600514A06005E4A06006F280001006F00010000001780000000000000000000000000</t>
  </si>
  <si>
    <t>0000000000000B1000000F84A70A118498FE5E84A70A608498FE4F4A0700514A07006F28000100A7F00100000017800000000000000000000000000000000000000B1000000F84770D118498FE5E84770D608498FE4F4A0100514A01006F28000100B7F00100000017800000000000000000000000000000000000000F1000000F844710118498FE5E844710608498FE4F4A0600514A06005E4A06006F280001006F000100000017800000000000000000000000000000000000000B1000000F841713118498FE5E841713608498FE4F4A0700514A07006F28000100A7F00100000017800000000000000000000000000000000000000B1000000F84E715118498FE5E84E715608498FE4F4A0100514A01006F28000100B7F00100000017800000000000000000000000000000000000000F1000000F84B718118498FE5E84B718608498FE4F4A0600514A06005E4A06006F280001006F000100000017800000000000000000000000000000000000000B1000000F84871B118498FE5E84871B608498FE4F4A0700514A07006F28000100A7F0010000000000010000000000000000000000000000000000031000000F840000118400005E840000608400006F2800020000002E00010000000000010300000000000000020000000000000000031000000F840000118400005E84000060840000</t>
  </si>
  <si>
    <t>6F2800030000002E000100010000000000010305000000000000020000000000000000031000000F840000118400005E840000608400006F2800050000002E0001002E000200010000000000010305070000000000020000000000000000031000000F840000118400005E840000608400006F2800070001002E0000002E0002002E000300010000000000010305070900000000020000000000000000031000000F840000118400005E840000608400006F2800090000002E0003002E0002002E0001002E00040001000000000001030507090B000000020000000000000000031000000F840000118400005E840000608400006F28000B0005002E0004002E0003002E0002002E0001002E000000010000000000010000000000000000000000000000000000031800000F84D809118498FE15C6050001D809065E84D809608498FE6F280001000600010000000000010000000000000000000000000000000000031800000F84400B118498FE15C6050001400B065E84400B608498FE6F280001000700010000000000010000000000000000000000000000000000031800000F84A80C118498FE15C6050001A80C065E84A80C608498FE6F280001000800010000000000010000000000000000000000000000000000031000000F84BB04118498FE5E84BB04608498FE6F2800020000002E</t>
  </si>
  <si>
    <t>00010000000480010000000000000000000000000000000000001000000F848B07118498FE5E848B07608498FE020001002E00010000000282010000000000000000000000000000000000001000000F845B0A11844CFF5E845B0A60844CFF020002002E00010000000080010000000000000000000000000000000000001000000F842B0D118498FE5E842B0D608498FE020003002E00010000000480010000000000000000000000000000000000001000000F84FB0F118498FE5E84FB0F608498FE020004002E00010000000282010000000000000000000000000000000000001000000F84CB1211844CFF5E84CB1260844CFF020005002E00010000000080010000000000000000000000000000000000001000000F849B15118498FE5E849B15608498FE020006002E00010000000480010000000000000000000000000000000000001000000F846B18118498FE5E846B18608498FE020007002E00010000000282010000000000000000000000000000000000001000000F843B1B11844CFF5E843B1B60844CFF020008002E00310000008B24343E000000000000000000000000594F6F1E000000000000000000000000934882190000000000000000000000008F22252D0000000000000000000000005442A05C00000000000000000000000076141E260000000000000000000000</t>
  </si>
  <si>
    <t>0078622629000000000000000000000000444C4978000000000000000000000000C712673B000000000000000000000000B70D3C2D00000000000000000000000018270429000000000000000000000000DB2097310000000000000000000000008857BA1F000000000000000000000000A108525C0000000000000000000000005D3B140B000000000000000000000000122B2E28000000000000000000000000173BB071000000000000000000000000857CD82D0000000000000000000000004B012E60000000000000000000000000D945B8250000000000000000000000009C2B364B000000000000000000000000EA7A081D000000000000000000000000D657F9470000000000000000000000002028E41F0000000000000000000000008161B572000000000000000000000000551025680000000000000000000000006251CA730000000000000000000000008E3EBC29000000000000000000000000AD41E11F0000000000000000000000000309247A0000000000000000000000000320DE4C000000000000000000000000DC5E2951000000000000000000000000BB5EAA09000000000000000000000000457CE9050000000000000000000000003377F42E0000000000000000000000008E0E1C19000000000000000000000000BD2F0376000000000000000000000000DD7BF9</t>
  </si>
  <si>
    <t>21000000000000000000000000F6045A73000000000000000000000000F04A1A0A0000000000000000000000000036270A000000000000000000000000D71F7172000000000000000000000000D25F512C000000000000000000000000D86F5617000000000000000000000000F80BEB6A000000000000000000000000B160E205000000000000000000000000F31D5F39000000000000000000000000867AA162000000000000000000000000786F7539000000000000000000000000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310000000000000000000000000000000000000000000000000000000000000000000000000000000000000000000000000000000000000000000000000000000000000000000000000000000000000000000000000000000000000000000000000000000000FFFF310000001200CA5548</t>
  </si>
  <si>
    <t>D4190019041B0019040F001904190019041B0019040F001904190019041B00190400000000120011001904190019041B0019040F001904190019041B0019040F001904190019041B00190412008065204503001904050019040100190403001904050019040100190403001904050019041200206264D3D06214D3B0A5C654C07870F8AAA46CFA98073E9570C852B89663BA0B2C0044CC120011001904190019041B0019040F001904190019041B0019040F001904190019041B00190400001200050019040300190405001904010019040300190405001904010019040300190405001904120011001904190019041B0019040F001904190019041B0019040F001904190019041B00190412000100190403001904050019040100190403001904050019040100190403001904050019041200806520450300190405001904010019040300190405001904010019040300190405001904120011001904190019041B0019040F001904190019041B0019040F001904190019041B0019041200B8FF2A17190019041B0019040F001904190019041B0019040F001904190019041B0019041200806520450300190405001904010019040300190405001904010019040300190405001904120011001904190019041B0019040F001904190019041B0019040F001904190019041B0019040000120086</t>
  </si>
  <si>
    <t>76F09A190019041B0019040F001904190019041B0019040F001904190019041B0019040000000012009068DE05190019041B0019040F001904190019041B0019040F001904190019041B00190412000CD5EC0B190019041B0019040F001904190019041B0019040F001904190019041B00190412007E73C664190019041B0019040F001904190019041B0019040F001904190019041B001904000000000000000012005AF46AD5190019041B0019040F001904190019041B0019040F001904190019041B001904120068A49CC8190019041B0019040F001904190019041B0019040F001904190019041B0019040000000012002A0318EF190019041B0019040F001904190019041B0019040F001904190019041B001904120011001904190019041B0019040F001904190019041B0019040F001904190019041B0019041200BCF1B242190019041B0019040F001904190019041B0019040F001904190019041B0019041200CEA226F6030019040500190401001904030019040500190401001904030019040500190400000000120011001904190019041B0019040F001904190019041B0019040F001904190019041B001904120011001904190019041B0019040F001904190019041B0019040F001904190019041B0019041200EAD1EA38190019041B0019040F001904190019041B0019040F</t>
  </si>
  <si>
    <t>001904190019041B001904120011001904190019041B0019040F001904190019041B0019040F001904190019041B00190412008065204503001904050019040100190403001904050019040100190403001904050019041200B644BA21190019041B0019040F001904190019041B0019040F001904190019041B0019041200661F1845190019041B0019040F001904190019041B0019040F001904190019041B0019041200946744F9190019041B0019040F001904190019041B0019040F001904190019041B00190412007AF17CFF190019041B0019040F001904190019041B0019040F001904190019041B001904120080652045030019040500190401001904030019040500190401001904030019040500190400001200741B1ED7190019041B0019040F001904190019041B0019040F001904190019041B0019040200FB5D835F00000000000000000001020002008B1E9E650000000000000000000102000200630000000400000008000000E5000000000000000A000000C8000100A2150100D6230300334004005C240B0094561800295A1F0089192000303F270086692700827830001966310078103200702D3600AA6736008C7A3A0013683E00B3263F0085693F006F7E4300417F470042454A00B9574A0048784A00C3494D00DF054E00E9414E0061114F002E134F0007624F003D</t>
  </si>
  <si>
    <t>445100A4145400013855001115590085295A00CE745B00C70D5F00877C63008A346600870567005A1C6B00C8227000D9667100E77C73003A2F75001444770009467B00C0658000816F80006A2089002C7D8A00A1498C0028598D0086118E00A6218F0027729100886793005F609700264299001D7E9A0087659B008F769D00F821A300FC4EA400023BA8002E16AA009F1CAB009727AD006107B100C81BB7008E7DC600444FC700A170CA00CE62CB001D37CC002933CD006666D000D71FD200D53ED6004F4DD6001E71DB002F2EDF00CE75E1007A0DE500B970E5001C0AE6005D33E7009B0BEA00DD70EC00A171EE00C50EEF008F0BF000B349F000C304F600EE38F7002C4FFB008956FB00B94AFD007A02FF0000000000B3070000B50700000000000001000000FF4001800100AA040000AA0400000038380517011701AA04000000000000AA04000000000000021C00000000000000FB030000B307000058000008000000005800001C00000000FFFF01000000070055006E006B006E006F0077006E00FFFF0100080000000000000000000000FFFF010000000000FFFF00000200FFFF00000000FFFF00000200FFFF0000000009000000471E9001CC0002020603050405020304FF2A00E0417800C00900000000000000FF01000000000000540069006D006500730020004E00650077002000</t>
  </si>
  <si>
    <t>52006F006D0061006E000000351E9001020005050102010706020507000000000000001000000000000000000000008000000000530079006D0062006F006C000000332E9001CC00020B0604020202020204FF2A00E0437800C00900000000000000FF0100000000000041007200690061006C000000372E9001CC00020F0502020204030204FF0200E0FFAC004001000000000000009F01000000000000430061006C0069006200720069000000371E9001CC0002040503050406030204FF0200E0FF04004000000000000000009F01000000000000430061006D0062007200690061000000352E9001CC00020B0604030504040204FF2E00E15B6000C02900000000000000FF010100000000005400610068006F006D00610000003F3D9001CC0002070309020205020404FF2A00E0437800C00900000000000000FF0100000000000043006F007500720069006500720020004E006500770000003B0E9001020005000000000000000000000000000000001000000000000000000000008000000000570069006E006700640069006E00670073000000411E9001CC0002040503050406030204FF0200E0FF24004200000000000000009F01000000000000430061006D00620072006900610020004D006100740068000000220004007108881800F0C502E304680100000000DC833AA7A19B</t>
  </si>
  <si>
    <t>3A27F35236670A00CF000000260100008D060000020003000000040003900D000000260100008D0600000200030000000D00000000000000690300F0100000000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8A055303B400B400818132300000000000000000000000000000B0070000B0070000000000000000000000000000000000000000000000000000000000000000000000000000000000000000000000000000000000000000000000000000020000000000000000000D3B835100F010000800FCFD01000000000000000000</t>
  </si>
  <si>
    <t>0000000000000000000000000000000848580000000009F0FF0F000924500000E3040000FFFFFF7FFFFFFF7FFFFFFF7FFFFFFF7FFFFFFF7FFFFFFF7FFFFFFF7F2642990000060000320000000000000000000000000000000000000000002104000000000000000000000000000000000000101C00000800000000000000000078000000780000000000000000000000A0050000FFFF1200000000000000000000000000000008006B006100720070006F007600610061000D0053006800610072006900660075006C006C0069006E00410052000000000000000000000000000000000000000000D0000000060000003100000000000C0001000C0002000C0003000C0004000C0005000C0006000C0007000C0008000C0009000C000A000C000B000C000C000C000D000C000E000C000F000C0010000C0011000C0012000C0013000C0014000C0015000C0016000C0017000C0018000C0019000C001A000C001B000C001C000C001D000C001E000C001F000C0020000C0021000C0022000C0023000C0024000C0025000C0026000C0027000C0028000C0029000C002A000C002B000C002C000C002D000C002E000C002F000C0030000C00000000000000000000000000FEFF0000060102000000000000000000000000000000000001000000E0859FF2F94F6810AB9108002B27B3D930000000</t>
  </si>
  <si>
    <t>78010000110000000100000090000000020000009800000003000000A400000004000000B000000005000000C400000007000000D000000008000000E400000009000000FC00000012000000080100000A000000280100000B000000340100000C000000400100000D0000004C0100000E000000580100000F000000600100001000000068010000130000007001000002000000E30400001E00000004000000000000001E00000004000000000000001E0000000C0000006B6172706F766161000000001E00000004000000000000001E0000000C0000004E6F726D616C2E646F746D001E00000010000000536861726966756C6C696E41520000001E00000004000000313000001E000000180000004D6963726F736F6674204F666669636520576F726400000040000000009AE5EA1C0000004000000000E252CF49A3D001400000000038B954FD07D10140000000006E0225510AD10103000000020000000300000026010000030000008D060000030000000000000000000000000000000000000000000000000000000000000000000000000000000000000000000000000000000000000000000000000000000000000000000000000000000000000000000000000000000000000000000000000000000000000000000000000000000000000000000000000000000000000000000000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</si>
  <si>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000000000000000000000000000000000000000000000000000000000000000000000000000000000000000000000000FEFF000006010200000000000000000000000000000000000100000002D5CDD59C2E1B10939708002B2CF9AE30000000EC0000000C00000001000000680000000F00000070000000050000007C0000000600000084000000110000008C00000017000000940000000B0000009C00000010000000A400000013000000AC00000016000000B40000000D000000BC0000000C000000C900000002000000E30400001E0000000400000048500000030000000D000000030000000300000003000000B00700000300000000000C000B000000000000000B000000000000000B000000000000000B000000000000001E1000000100000001000000000C100000020000001E00000009000000CDE0E7E2E0EDE8E500030000000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</si>
  <si>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00000002000000030000000400000005000000060000000700000008000000090000000A0000000B0000000C0000000D0000000E0000000F000000100000001100000012000000130000001400000015000000160000001700000018000000190000001A0000001B0000001C0000001D0000001E000000FEFFFFFF20000000210000002200000023000000240000002500000026000000FEFFFFFF28000000290000002A0000002B0000002C0000002D0000002E0000002F000000300000003100000032000000330000003400000035000000360000003700000038000000390000003A0000003B0000003C0000003D0000003E0000003F000000400000004100000042000000430000004400000045000000460000004700000048000000490000004A0000004B0000004C0000004D0000004E0000004F00000050000000510000005200000053000000540000005500000056000000570000005800000059000000</t>
  </si>
  <si>
    <t>5A0000005B0000005C0000005D0000005E0000005F000000600000006100000062000000630000006400000065000000660000006700000068000000690000006A0000006B0000006C0000006D0000006E0000006F0000007000000071000000720000007300000074000000750000007600000077000000FEFFFFFF790000007A0000007B0000007C0000007D0000007E0000007F000000FEFFFFFF81000000820000008300000084000000850000008600000087000000FEFFFFFFFDFFFFFFFDFFFFFF8B000000FEFFFFFFFEFFFFFF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</t>
  </si>
  <si>
    <t>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00740072007900000000000000000000000000000000000000000000000000000000000000000000000000000000000000000016000501FFFFFFFFFFFFFFFF030000000609020000000000C00000000000004600000000000000000000000060883545510AD1018D0000008000000000000000440061007400610000000000000000000000000000000000000000000000000000000000000000000000000000000000000000000000000000000000000000000A000201FFFFFFFFFFFFFFFFFFFFFFFF0000000000000000000000000000000000000000000000000000000000000000000000001F000000001000000000000031005400610062006C006500000000000000000000000000000000000000000000000000000000000000000000000000000000000000000000000000000000000E0002010100000006000000</t>
  </si>
  <si>
    <t>FFFFFFFF00000000000000000000000000000000000000000000000000000000000000000000000027000000F4A100000000000057006F007200640044006F00630075006D0065006E007400000000000000000000000000000000000000000000000000000000000000000000000000000000001A0002010200000005000000FFFFFFFF00000000000000000000000000000000000000000000000000000000000000000000000000000000343C0000000000000500530075006D006D0061007200790049006E0066006F0072006D006100740069006F006E00000000000000000000000000000000000000000000000000000028000201FFFFFFFFFFFFFFFFFFFFFFFF000000000000000000000000000000000000000000000000000000000000000000000000780000000010000000000000050044006F00630075006D0065006E007400530075006D006D0061007200790049006E0066006F0072006D006100740069006F006E00000000000000000000003800020104000000FFFFFFFFFFFFFFFF000000000000000000000000000000000000000000000000000000000000000000000000800000000010000000000000010043006F006D0070004F0062006A00000000000000000000000000000000000000000000000000000000000000000000000000000000000000000000000000</t>
  </si>
  <si>
    <t>12000200FFFFFFFFFFFFFFFFFFFFFFFF0000000000000000000000000000000000000000000000000000000000000000000000000000000079000000000000000000000000000000000000000000000000000000000000000000000000000000000000000000000000000000000000000000000000000000000000000000000000000000FFFFFFFFFFFFFFFFFFFFFFFF00000000000000000000000000000000000000000000000000000000000000000000000000000000000000000000000001000000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</t>
  </si>
  <si>
    <t>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0100FEFF030A0000FFFFFFFF0609020000000000C00000000000004627000000C4EEEAF3ECE5EDF2204D6963726F736F6674204F666669636520576F72642039372D32303033000A0000004D53576F7264446F630010000000576F72642E446F63756D656E742E3800F439B27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</si>
  <si>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</si>
  <si>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Объем емкости, м3</t>
  </si>
  <si>
    <t>Параметры агрегатов и др.</t>
  </si>
  <si>
    <t>Плотность УВ, г/см3</t>
  </si>
  <si>
    <t>Доля УВ в объеме БП</t>
  </si>
  <si>
    <t>Плотность эмульгатора, г/см3</t>
  </si>
  <si>
    <t>Доля эмульгатора в объеме БП</t>
  </si>
  <si>
    <t>Расход, м3/мин</t>
  </si>
  <si>
    <t>+</t>
  </si>
  <si>
    <t>Тип компонента</t>
  </si>
  <si>
    <t>УВ основа</t>
  </si>
  <si>
    <t>Эмульгатор</t>
  </si>
  <si>
    <t>Объем сол.раствора</t>
  </si>
  <si>
    <t>Объем БП</t>
  </si>
  <si>
    <t>Стадия №1</t>
  </si>
  <si>
    <t>Стадия №2</t>
  </si>
  <si>
    <t>Стадия №3</t>
  </si>
  <si>
    <t>Стадия №4</t>
  </si>
  <si>
    <t>Общие результаты</t>
  </si>
  <si>
    <t>Объем нефти, м3</t>
  </si>
  <si>
    <t>Объем эмульгатора, м3</t>
  </si>
  <si>
    <t>Объем воды, м3</t>
  </si>
  <si>
    <t>Масса соли, т</t>
  </si>
  <si>
    <t>Объем сол. раствора, м3</t>
  </si>
  <si>
    <t>Плотность сол. раствора, г/см3</t>
  </si>
  <si>
    <t>Значение</t>
  </si>
  <si>
    <t>плотность раствора, г/см3</t>
  </si>
  <si>
    <t>расход соли, кг/м3</t>
  </si>
  <si>
    <t>расход пресной воды, л/м3</t>
  </si>
  <si>
    <t>кг/м3</t>
  </si>
  <si>
    <t>Расход соли</t>
  </si>
  <si>
    <t>Расход воды</t>
  </si>
  <si>
    <t>Виды солей в базе</t>
  </si>
  <si>
    <t>CaCl</t>
  </si>
  <si>
    <t>CaЖГ</t>
  </si>
  <si>
    <t>KCl</t>
  </si>
  <si>
    <t>Рекомендуемая соль</t>
  </si>
  <si>
    <t>Расход соли (рекомендуемый)</t>
  </si>
  <si>
    <t>Расход воды (рекомендуемый)</t>
  </si>
  <si>
    <t>Тип используемой соли (необходимо выбрать!)</t>
  </si>
  <si>
    <t>S1</t>
  </si>
  <si>
    <t>dнкт</t>
  </si>
  <si>
    <t>Dнкт</t>
  </si>
  <si>
    <t>dэкс</t>
  </si>
  <si>
    <t>Dэкс</t>
  </si>
  <si>
    <t>мм</t>
  </si>
  <si>
    <t>Дано:</t>
  </si>
  <si>
    <t>Q</t>
  </si>
  <si>
    <t>Решение:</t>
  </si>
  <si>
    <t>1. Прямая закачка</t>
  </si>
  <si>
    <t>S2</t>
  </si>
  <si>
    <t>S3</t>
  </si>
  <si>
    <t>V1</t>
  </si>
  <si>
    <t>hнкт</t>
  </si>
  <si>
    <t>Hзаб</t>
  </si>
  <si>
    <t>V2</t>
  </si>
  <si>
    <t>V3</t>
  </si>
  <si>
    <t>Vобщ</t>
  </si>
  <si>
    <t>t1</t>
  </si>
  <si>
    <t>v1</t>
  </si>
  <si>
    <t>t2</t>
  </si>
  <si>
    <t>v2</t>
  </si>
  <si>
    <t>t3</t>
  </si>
  <si>
    <t>v3</t>
  </si>
  <si>
    <t>м3/мин</t>
  </si>
  <si>
    <t>м/мин</t>
  </si>
  <si>
    <t>Пользовательская соль</t>
  </si>
  <si>
    <t>Выбрать минимум расхода:</t>
  </si>
  <si>
    <t>Выбрать максимум расхода:</t>
  </si>
  <si>
    <t>Выбранная соль</t>
  </si>
  <si>
    <t xml:space="preserve">Расходная норма </t>
  </si>
  <si>
    <t>KCL</t>
  </si>
  <si>
    <t>без соли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</si>
</sst>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_(&quot;$&quot;* #,##0_);_(&quot;$&quot;* \(#,##0\);_(&quot;$&quot;* &quot;-&quot;_);_(@_)"/>
    <numFmt numFmtId="165" formatCode="_-&quot;£&quot;* #,##0.00_-;\-&quot;£&quot;* #,##0.00_-;_-&quot;£&quot;* &quot;-&quot;??_-;_-@_-"/>
    <numFmt numFmtId="166" formatCode="_-* #,##0.00_-;\-* #,##0.00_-;_-* &quot;-&quot;??_-;_-@_-"/>
    <numFmt numFmtId="167" formatCode="0.0"/>
    <numFmt numFmtId="168" formatCode="_-* #,##0\ _р_._-;\-* #,##0\ _р_._-;_-* &quot;-&quot;\ _р_._-;_-@_-"/>
    <numFmt numFmtId="169" formatCode="_-* #,##0.00\ _р_._-;\-* #,##0.00\ _р_._-;_-* &quot;-&quot;??\ _р_._-;_-@_-"/>
    <numFmt numFmtId="170" formatCode="_-* #,##0\ &quot;d.&quot;_-;\-* #,##0\ &quot;d.&quot;_-;_-* &quot;-&quot;\ &quot;d.&quot;_-;_-@_-"/>
    <numFmt numFmtId="171" formatCode="_-* #,##0\ _d_._-;\-* #,##0\ _d_._-;_-* &quot;-&quot;\ _d_._-;_-@_-"/>
    <numFmt numFmtId="172" formatCode="_-* #,##0.00\ &quot;d.&quot;_-;\-* #,##0.00\ &quot;d.&quot;_-;_-* &quot;-&quot;??\ &quot;d.&quot;_-;_-@_-"/>
    <numFmt numFmtId="173" formatCode="_-* #,##0.00\ _d_._-;\-* #,##0.00\ _d_._-;_-* &quot;-&quot;??\ _d_._-;_-@_-"/>
    <numFmt numFmtId="174" formatCode="#,##0;[Red]\-#,##0"/>
    <numFmt numFmtId="175" formatCode="0.0000"/>
    <numFmt numFmtId="176" formatCode="_(* #,##0_);_(* \(#,##0\);_(* &quot;-&quot;_);_(@_)"/>
    <numFmt numFmtId="177" formatCode="dd/mm/yy"/>
    <numFmt numFmtId="178" formatCode="0.000"/>
  </numFmts>
  <fonts count="89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10"/>
      <name val="Arial"/>
      <family val="2"/>
      <charset val="204"/>
    </font>
    <font>
      <sz val="10"/>
      <name val="Arial Cyr"/>
      <charset val="204"/>
    </font>
    <font>
      <sz val="12"/>
      <name val="Arial"/>
      <family val="2"/>
      <charset val="204"/>
    </font>
    <font>
      <sz val="10"/>
      <name val="Courier New Cyr"/>
      <charset val="204"/>
    </font>
    <font>
      <sz val="8"/>
      <name val="Optima"/>
    </font>
    <font>
      <sz val="10"/>
      <name val="Times New Roman Cyr"/>
      <charset val="204"/>
    </font>
    <font>
      <sz val="11"/>
      <name val="Times New Roman"/>
      <family val="1"/>
      <charset val="204"/>
    </font>
    <font>
      <b/>
      <sz val="12"/>
      <name val="Arial Cyr"/>
      <charset val="204"/>
    </font>
    <font>
      <sz val="12"/>
      <name val="Arial Cyr"/>
      <charset val="204"/>
    </font>
    <font>
      <sz val="10"/>
      <name val="Arial"/>
      <family val="2"/>
      <charset val="204"/>
    </font>
    <font>
      <sz val="12"/>
      <name val="Arial Cyr"/>
    </font>
    <font>
      <b/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20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1"/>
      <color indexed="9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17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sz val="11"/>
      <color indexed="62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60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8"/>
      <color indexed="56"/>
      <name val="Cambria"/>
      <family val="2"/>
      <charset val="204"/>
    </font>
    <font>
      <b/>
      <sz val="11"/>
      <color indexed="8"/>
      <name val="Calibri"/>
      <family val="2"/>
      <charset val="204"/>
    </font>
    <font>
      <sz val="11"/>
      <color indexed="10"/>
      <name val="Calibri"/>
      <family val="2"/>
      <charset val="204"/>
    </font>
    <font>
      <sz val="12"/>
      <color theme="0"/>
      <name val="Arial Cyr"/>
    </font>
    <font>
      <sz val="10"/>
      <color theme="0"/>
      <name val="Arial"/>
      <family val="2"/>
      <charset val="204"/>
    </font>
    <font>
      <sz val="10"/>
      <name val="Arial Cyr"/>
      <family val="2"/>
      <charset val="204"/>
    </font>
    <font>
      <sz val="10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b/>
      <sz val="16"/>
      <color theme="1"/>
      <name val="Arial Cyr"/>
      <family val="2"/>
      <charset val="204"/>
    </font>
    <font>
      <sz val="10"/>
      <color theme="1"/>
      <name val="Arial"/>
      <family val="2"/>
    </font>
    <font>
      <b/>
      <sz val="12"/>
      <color theme="1"/>
      <name val="Arial Cyr"/>
    </font>
    <font>
      <sz val="12"/>
      <color theme="1"/>
      <name val="Arial Cyr"/>
    </font>
    <font>
      <b/>
      <sz val="12"/>
      <color theme="1"/>
      <name val="Arial Cyr"/>
      <family val="2"/>
      <charset val="204"/>
    </font>
    <font>
      <sz val="14"/>
      <color theme="1"/>
      <name val="Arial"/>
      <family val="2"/>
      <charset val="204"/>
    </font>
    <font>
      <sz val="12"/>
      <color theme="1"/>
      <name val="Arial Cyr"/>
      <family val="2"/>
      <charset val="204"/>
    </font>
    <font>
      <b/>
      <sz val="12"/>
      <color theme="1"/>
      <name val="Arial Cyr"/>
      <charset val="204"/>
    </font>
    <font>
      <b/>
      <sz val="12"/>
      <color theme="1"/>
      <name val="Arial"/>
      <family val="2"/>
      <charset val="204"/>
    </font>
    <font>
      <sz val="12"/>
      <color theme="1"/>
      <name val="Arial"/>
      <family val="2"/>
    </font>
    <font>
      <b/>
      <sz val="10"/>
      <color theme="1"/>
      <name val="Arial"/>
      <family val="2"/>
      <charset val="204"/>
    </font>
    <font>
      <sz val="12"/>
      <color theme="1"/>
      <name val="Times New Roman"/>
      <family val="1"/>
    </font>
    <font>
      <sz val="12"/>
      <color theme="1"/>
      <name val="Arial Narrow"/>
      <family val="2"/>
      <charset val="204"/>
    </font>
    <font>
      <sz val="12"/>
      <color theme="1"/>
      <name val="Cambria"/>
      <family val="1"/>
      <charset val="204"/>
    </font>
    <font>
      <sz val="8"/>
      <color theme="1"/>
      <name val="Arial Cyr"/>
      <family val="2"/>
      <charset val="204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sz val="12"/>
      <color theme="1"/>
      <name val="Arial Cyr"/>
      <charset val="204"/>
    </font>
    <font>
      <b/>
      <sz val="14"/>
      <color theme="1"/>
      <name val="Arial"/>
      <family val="2"/>
    </font>
    <font>
      <b/>
      <u/>
      <sz val="12"/>
      <color theme="1"/>
      <name val="Arial Cyr"/>
    </font>
    <font>
      <b/>
      <sz val="14"/>
      <color theme="1"/>
      <name val="Arial Cyr"/>
      <family val="2"/>
      <charset val="204"/>
    </font>
    <font>
      <b/>
      <sz val="18"/>
      <color theme="1"/>
      <name val="Times New Roman"/>
      <family val="1"/>
      <charset val="204"/>
    </font>
    <font>
      <sz val="10"/>
      <color theme="1"/>
      <name val="Arial Cyr"/>
    </font>
    <font>
      <b/>
      <sz val="14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b/>
      <sz val="11"/>
      <color theme="1"/>
      <name val="Arial Cyr"/>
      <family val="2"/>
      <charset val="204"/>
    </font>
    <font>
      <b/>
      <sz val="11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12"/>
      <name val="Calibri"/>
      <family val="2"/>
      <charset val="204"/>
    </font>
    <font>
      <sz val="12"/>
      <name val="Calibri"/>
      <family val="2"/>
      <charset val="204"/>
    </font>
    <font>
      <b/>
      <i/>
      <sz val="12"/>
      <color indexed="18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b/>
      <i/>
      <sz val="12"/>
      <color rgb="FF002060"/>
      <name val="Calibri"/>
      <family val="2"/>
      <charset val="204"/>
      <scheme val="minor"/>
    </font>
    <font>
      <sz val="12"/>
      <color rgb="FF002060"/>
      <name val="Arial Cyr"/>
    </font>
    <font>
      <sz val="10"/>
      <color rgb="FF002060"/>
      <name val="Arial"/>
      <family val="2"/>
      <charset val="204"/>
    </font>
    <font>
      <b/>
      <sz val="12"/>
      <color rgb="FF002060"/>
      <name val="Arial"/>
      <family val="2"/>
    </font>
    <font>
      <b/>
      <sz val="12"/>
      <color rgb="FF002060"/>
      <name val="Arial"/>
      <family val="2"/>
      <charset val="204"/>
    </font>
    <font>
      <sz val="10"/>
      <color rgb="FF002060"/>
      <name val="Helv"/>
    </font>
    <font>
      <sz val="12"/>
      <color rgb="FF002060"/>
      <name val="Arial"/>
      <family val="2"/>
    </font>
    <font>
      <b/>
      <sz val="10"/>
      <color rgb="FF002060"/>
      <name val="Arial"/>
      <family val="2"/>
      <charset val="204"/>
    </font>
    <font>
      <b/>
      <i/>
      <sz val="12"/>
      <name val="Calibri"/>
      <family val="2"/>
      <charset val="204"/>
      <scheme val="minor"/>
    </font>
    <font>
      <sz val="12"/>
      <color theme="0"/>
      <name val="Arial Cyr"/>
      <family val="2"/>
      <charset val="204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rgb="FF002060"/>
      <name val="Arial"/>
      <family val="2"/>
      <charset val="204"/>
    </font>
    <font>
      <b/>
      <sz val="14"/>
      <color rgb="FF00206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0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70">
    <xf numFmtId="0" fontId="0" fillId="0" borderId="0"/>
    <xf numFmtId="0" fontId="4" fillId="0" borderId="0"/>
    <xf numFmtId="170" fontId="5" fillId="0" borderId="0" applyFont="0" applyFill="0" applyBorder="0" applyAlignment="0" applyProtection="0"/>
    <xf numFmtId="172" fontId="5" fillId="0" borderId="0" applyFont="0" applyFill="0" applyBorder="0" applyAlignment="0" applyProtection="0"/>
    <xf numFmtId="168" fontId="6" fillId="0" borderId="0" applyFont="0" applyFill="0" applyBorder="0" applyAlignment="0" applyProtection="0"/>
    <xf numFmtId="166" fontId="2" fillId="0" borderId="0" applyFont="0" applyFill="0" applyBorder="0" applyAlignment="0" applyProtection="0"/>
    <xf numFmtId="1" fontId="9" fillId="0" borderId="1">
      <alignment horizontal="center"/>
    </xf>
    <xf numFmtId="164" fontId="6" fillId="0" borderId="0" applyFont="0" applyFill="0" applyBorder="0" applyAlignment="0" applyProtection="0"/>
    <xf numFmtId="165" fontId="2" fillId="0" borderId="0" applyFont="0" applyFill="0" applyBorder="0" applyAlignment="0" applyProtection="0"/>
    <xf numFmtId="1" fontId="9" fillId="0" borderId="0">
      <alignment horizontal="center"/>
      <protection hidden="1"/>
    </xf>
    <xf numFmtId="0" fontId="7" fillId="0" borderId="0"/>
    <xf numFmtId="0" fontId="8" fillId="0" borderId="0"/>
    <xf numFmtId="0" fontId="3" fillId="0" borderId="0"/>
    <xf numFmtId="174" fontId="9" fillId="0" borderId="2">
      <alignment horizontal="center"/>
    </xf>
    <xf numFmtId="171" fontId="5" fillId="0" borderId="0" applyFont="0" applyFill="0" applyBorder="0" applyAlignment="0" applyProtection="0"/>
    <xf numFmtId="173" fontId="5" fillId="0" borderId="0" applyFont="0" applyFill="0" applyBorder="0" applyAlignment="0" applyProtection="0"/>
    <xf numFmtId="171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0" fontId="13" fillId="0" borderId="0"/>
    <xf numFmtId="0" fontId="2" fillId="0" borderId="0"/>
    <xf numFmtId="0" fontId="13" fillId="0" borderId="0"/>
    <xf numFmtId="3" fontId="10" fillId="0" borderId="0">
      <alignment horizontal="right" vertical="center"/>
    </xf>
    <xf numFmtId="0" fontId="3" fillId="0" borderId="0"/>
    <xf numFmtId="168" fontId="5" fillId="0" borderId="0" applyFont="0" applyFill="0" applyBorder="0" applyAlignment="0" applyProtection="0"/>
    <xf numFmtId="169" fontId="5" fillId="0" borderId="0" applyFont="0" applyFill="0" applyBorder="0" applyAlignment="0" applyProtection="0"/>
    <xf numFmtId="0" fontId="5" fillId="0" borderId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0" borderId="0" applyNumberFormat="0" applyBorder="0" applyAlignment="0" applyProtection="0"/>
    <xf numFmtId="0" fontId="16" fillId="13" borderId="0" applyNumberFormat="0" applyBorder="0" applyAlignment="0" applyProtection="0"/>
    <xf numFmtId="0" fontId="16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4" borderId="0" applyNumberFormat="0" applyBorder="0" applyAlignment="0" applyProtection="0"/>
    <xf numFmtId="0" fontId="18" fillId="8" borderId="0" applyNumberFormat="0" applyBorder="0" applyAlignment="0" applyProtection="0"/>
    <xf numFmtId="0" fontId="19" fillId="25" borderId="9" applyNumberFormat="0" applyAlignment="0" applyProtection="0"/>
    <xf numFmtId="0" fontId="20" fillId="26" borderId="10" applyNumberFormat="0" applyAlignment="0" applyProtection="0"/>
    <xf numFmtId="0" fontId="21" fillId="0" borderId="0" applyNumberFormat="0" applyFill="0" applyBorder="0" applyAlignment="0" applyProtection="0"/>
    <xf numFmtId="0" fontId="22" fillId="9" borderId="0" applyNumberFormat="0" applyBorder="0" applyAlignment="0" applyProtection="0"/>
    <xf numFmtId="0" fontId="23" fillId="0" borderId="11" applyNumberFormat="0" applyFill="0" applyAlignment="0" applyProtection="0"/>
    <xf numFmtId="0" fontId="24" fillId="0" borderId="12" applyNumberFormat="0" applyFill="0" applyAlignment="0" applyProtection="0"/>
    <xf numFmtId="0" fontId="25" fillId="0" borderId="13" applyNumberFormat="0" applyFill="0" applyAlignment="0" applyProtection="0"/>
    <xf numFmtId="0" fontId="25" fillId="0" borderId="0" applyNumberFormat="0" applyFill="0" applyBorder="0" applyAlignment="0" applyProtection="0"/>
    <xf numFmtId="0" fontId="26" fillId="12" borderId="9" applyNumberFormat="0" applyAlignment="0" applyProtection="0"/>
    <xf numFmtId="0" fontId="27" fillId="0" borderId="14" applyNumberFormat="0" applyFill="0" applyAlignment="0" applyProtection="0"/>
    <xf numFmtId="0" fontId="28" fillId="27" borderId="0" applyNumberFormat="0" applyBorder="0" applyAlignment="0" applyProtection="0"/>
    <xf numFmtId="0" fontId="5" fillId="28" borderId="15" applyNumberFormat="0" applyFont="0" applyAlignment="0" applyProtection="0"/>
    <xf numFmtId="0" fontId="29" fillId="25" borderId="16" applyNumberFormat="0" applyAlignment="0" applyProtection="0"/>
    <xf numFmtId="0" fontId="30" fillId="0" borderId="0" applyNumberFormat="0" applyFill="0" applyBorder="0" applyAlignment="0" applyProtection="0"/>
    <xf numFmtId="0" fontId="31" fillId="0" borderId="17" applyNumberFormat="0" applyFill="0" applyAlignment="0" applyProtection="0"/>
    <xf numFmtId="0" fontId="32" fillId="0" borderId="0" applyNumberFormat="0" applyFill="0" applyBorder="0" applyAlignment="0" applyProtection="0"/>
    <xf numFmtId="0" fontId="1" fillId="0" borderId="0"/>
    <xf numFmtId="0" fontId="35" fillId="0" borderId="0">
      <alignment horizontal="center"/>
    </xf>
    <xf numFmtId="176" fontId="12" fillId="0" borderId="0"/>
  </cellStyleXfs>
  <cellXfs count="475">
    <xf numFmtId="0" fontId="0" fillId="0" borderId="0" xfId="0"/>
    <xf numFmtId="0" fontId="36" fillId="0" borderId="0" xfId="0" applyFont="1" applyBorder="1" applyProtection="1"/>
    <xf numFmtId="0" fontId="37" fillId="0" borderId="0" xfId="0" applyFont="1" applyBorder="1" applyProtection="1"/>
    <xf numFmtId="0" fontId="39" fillId="0" borderId="0" xfId="0" applyFont="1" applyBorder="1" applyProtection="1"/>
    <xf numFmtId="0" fontId="40" fillId="0" borderId="0" xfId="18" applyFont="1" applyBorder="1" applyAlignment="1" applyProtection="1">
      <alignment horizontal="centerContinuous"/>
    </xf>
    <xf numFmtId="0" fontId="43" fillId="0" borderId="0" xfId="0" applyFont="1" applyBorder="1" applyAlignment="1" applyProtection="1">
      <alignment horizontal="right"/>
    </xf>
    <xf numFmtId="2" fontId="36" fillId="0" borderId="0" xfId="0" applyNumberFormat="1" applyFont="1" applyBorder="1" applyProtection="1"/>
    <xf numFmtId="0" fontId="41" fillId="0" borderId="0" xfId="18" applyFont="1" applyBorder="1" applyProtection="1"/>
    <xf numFmtId="22" fontId="41" fillId="0" borderId="0" xfId="18" applyNumberFormat="1" applyFont="1" applyBorder="1" applyAlignment="1" applyProtection="1">
      <alignment horizontal="center"/>
    </xf>
    <xf numFmtId="0" fontId="44" fillId="0" borderId="0" xfId="18" applyFont="1" applyBorder="1" applyProtection="1"/>
    <xf numFmtId="0" fontId="41" fillId="0" borderId="0" xfId="18" applyFont="1" applyBorder="1" applyAlignment="1" applyProtection="1">
      <alignment horizontal="center"/>
    </xf>
    <xf numFmtId="0" fontId="41" fillId="0" borderId="0" xfId="18" applyFont="1" applyFill="1" applyBorder="1" applyProtection="1"/>
    <xf numFmtId="0" fontId="36" fillId="0" borderId="0" xfId="0" applyFont="1" applyBorder="1"/>
    <xf numFmtId="0" fontId="47" fillId="0" borderId="0" xfId="0" applyFont="1" applyBorder="1" applyProtection="1"/>
    <xf numFmtId="0" fontId="41" fillId="0" borderId="0" xfId="18" applyFont="1" applyBorder="1" applyAlignment="1" applyProtection="1">
      <alignment horizontal="left"/>
    </xf>
    <xf numFmtId="0" fontId="41" fillId="0" borderId="0" xfId="18" applyFont="1" applyBorder="1" applyAlignment="1" applyProtection="1">
      <alignment horizontal="right"/>
    </xf>
    <xf numFmtId="0" fontId="36" fillId="0" borderId="0" xfId="0" applyNumberFormat="1" applyFont="1" applyBorder="1" applyProtection="1"/>
    <xf numFmtId="167" fontId="36" fillId="0" borderId="0" xfId="0" applyNumberFormat="1" applyFont="1" applyBorder="1" applyProtection="1"/>
    <xf numFmtId="167" fontId="41" fillId="0" borderId="0" xfId="18" applyNumberFormat="1" applyFont="1" applyBorder="1" applyAlignment="1" applyProtection="1">
      <alignment horizontal="center"/>
    </xf>
    <xf numFmtId="0" fontId="38" fillId="0" borderId="0" xfId="19" applyFont="1" applyBorder="1" applyAlignment="1" applyProtection="1">
      <alignment horizontal="left"/>
    </xf>
    <xf numFmtId="0" fontId="41" fillId="0" borderId="0" xfId="19" applyFont="1" applyBorder="1" applyProtection="1"/>
    <xf numFmtId="167" fontId="36" fillId="0" borderId="0" xfId="0" applyNumberFormat="1" applyFont="1" applyBorder="1" applyAlignment="1" applyProtection="1">
      <alignment horizontal="left"/>
    </xf>
    <xf numFmtId="0" fontId="41" fillId="0" borderId="0" xfId="0" applyFont="1" applyBorder="1" applyProtection="1"/>
    <xf numFmtId="175" fontId="43" fillId="0" borderId="0" xfId="0" applyNumberFormat="1" applyFont="1" applyBorder="1" applyProtection="1"/>
    <xf numFmtId="2" fontId="36" fillId="0" borderId="0" xfId="0" applyNumberFormat="1" applyFont="1" applyBorder="1" applyAlignment="1" applyProtection="1">
      <alignment horizontal="left"/>
    </xf>
    <xf numFmtId="0" fontId="42" fillId="0" borderId="0" xfId="0" applyFont="1" applyBorder="1" applyProtection="1"/>
    <xf numFmtId="0" fontId="49" fillId="0" borderId="0" xfId="18" applyFont="1" applyBorder="1" applyProtection="1"/>
    <xf numFmtId="2" fontId="41" fillId="0" borderId="0" xfId="18" applyNumberFormat="1" applyFont="1" applyBorder="1" applyAlignment="1" applyProtection="1">
      <alignment horizontal="center"/>
    </xf>
    <xf numFmtId="0" fontId="41" fillId="4" borderId="0" xfId="18" applyFont="1" applyFill="1" applyBorder="1" applyProtection="1"/>
    <xf numFmtId="0" fontId="41" fillId="5" borderId="0" xfId="18" applyFont="1" applyFill="1" applyBorder="1" applyProtection="1"/>
    <xf numFmtId="167" fontId="39" fillId="0" borderId="0" xfId="0" applyNumberFormat="1" applyFont="1" applyBorder="1" applyProtection="1"/>
    <xf numFmtId="0" fontId="49" fillId="0" borderId="0" xfId="0" applyFont="1" applyBorder="1" applyProtection="1"/>
    <xf numFmtId="0" fontId="50" fillId="0" borderId="0" xfId="18" applyFont="1" applyBorder="1" applyProtection="1"/>
    <xf numFmtId="0" fontId="47" fillId="4" borderId="0" xfId="0" applyFont="1" applyFill="1" applyBorder="1" applyProtection="1"/>
    <xf numFmtId="0" fontId="47" fillId="5" borderId="0" xfId="0" applyFont="1" applyFill="1" applyBorder="1" applyProtection="1"/>
    <xf numFmtId="2" fontId="41" fillId="0" borderId="0" xfId="18" applyNumberFormat="1" applyFont="1" applyBorder="1" applyProtection="1"/>
    <xf numFmtId="175" fontId="39" fillId="0" borderId="0" xfId="0" applyNumberFormat="1" applyFont="1" applyBorder="1" applyProtection="1"/>
    <xf numFmtId="0" fontId="36" fillId="4" borderId="0" xfId="0" applyFont="1" applyFill="1" applyBorder="1" applyProtection="1"/>
    <xf numFmtId="0" fontId="36" fillId="5" borderId="0" xfId="0" applyFont="1" applyFill="1" applyBorder="1" applyProtection="1"/>
    <xf numFmtId="0" fontId="52" fillId="0" borderId="0" xfId="18" applyFont="1" applyBorder="1" applyProtection="1"/>
    <xf numFmtId="0" fontId="53" fillId="0" borderId="0" xfId="0" applyFont="1" applyBorder="1" applyProtection="1"/>
    <xf numFmtId="1" fontId="41" fillId="0" borderId="0" xfId="18" applyNumberFormat="1" applyFont="1" applyBorder="1" applyAlignment="1" applyProtection="1">
      <alignment horizontal="center"/>
    </xf>
    <xf numFmtId="2" fontId="47" fillId="0" borderId="0" xfId="0" applyNumberFormat="1" applyFont="1" applyBorder="1" applyProtection="1"/>
    <xf numFmtId="167" fontId="47" fillId="0" borderId="0" xfId="0" applyNumberFormat="1" applyFont="1" applyBorder="1" applyProtection="1"/>
    <xf numFmtId="0" fontId="54" fillId="0" borderId="0" xfId="0" applyFont="1" applyBorder="1"/>
    <xf numFmtId="0" fontId="50" fillId="0" borderId="0" xfId="0" applyFont="1" applyBorder="1" applyProtection="1"/>
    <xf numFmtId="0" fontId="43" fillId="0" borderId="0" xfId="0" applyFont="1" applyBorder="1" applyProtection="1"/>
    <xf numFmtId="0" fontId="42" fillId="0" borderId="0" xfId="18" applyFont="1" applyBorder="1" applyAlignment="1" applyProtection="1">
      <alignment horizontal="center"/>
    </xf>
    <xf numFmtId="167" fontId="53" fillId="0" borderId="0" xfId="0" applyNumberFormat="1" applyFont="1" applyBorder="1" applyProtection="1"/>
    <xf numFmtId="0" fontId="41" fillId="0" borderId="0" xfId="0" applyFont="1" applyBorder="1" applyAlignment="1" applyProtection="1">
      <alignment vertical="center"/>
    </xf>
    <xf numFmtId="0" fontId="41" fillId="5" borderId="0" xfId="0" applyFont="1" applyFill="1" applyBorder="1" applyAlignment="1" applyProtection="1">
      <alignment vertical="center"/>
    </xf>
    <xf numFmtId="0" fontId="55" fillId="0" borderId="0" xfId="18" applyFont="1" applyBorder="1" applyProtection="1"/>
    <xf numFmtId="0" fontId="47" fillId="0" borderId="0" xfId="0" applyFont="1" applyBorder="1" applyAlignment="1" applyProtection="1">
      <alignment horizontal="left"/>
    </xf>
    <xf numFmtId="0" fontId="56" fillId="0" borderId="0" xfId="0" applyFont="1" applyBorder="1" applyAlignment="1" applyProtection="1">
      <alignment horizontal="center"/>
      <protection locked="0"/>
    </xf>
    <xf numFmtId="0" fontId="53" fillId="0" borderId="0" xfId="0" applyFont="1" applyBorder="1" applyAlignment="1" applyProtection="1">
      <alignment horizontal="left"/>
    </xf>
    <xf numFmtId="2" fontId="56" fillId="0" borderId="0" xfId="0" applyNumberFormat="1" applyFont="1" applyBorder="1" applyAlignment="1" applyProtection="1">
      <alignment horizontal="right"/>
    </xf>
    <xf numFmtId="0" fontId="53" fillId="0" borderId="0" xfId="0" applyFont="1" applyBorder="1" applyAlignment="1" applyProtection="1">
      <alignment horizontal="center"/>
    </xf>
    <xf numFmtId="2" fontId="56" fillId="0" borderId="0" xfId="0" applyNumberFormat="1" applyFont="1" applyFill="1" applyBorder="1" applyAlignment="1" applyProtection="1">
      <alignment horizontal="right"/>
    </xf>
    <xf numFmtId="0" fontId="36" fillId="0" borderId="0" xfId="0" applyFont="1" applyBorder="1" applyAlignment="1" applyProtection="1">
      <alignment horizontal="center"/>
    </xf>
    <xf numFmtId="0" fontId="40" fillId="0" borderId="0" xfId="18" applyFont="1" applyBorder="1" applyAlignment="1" applyProtection="1">
      <alignment horizontal="center"/>
    </xf>
    <xf numFmtId="2" fontId="53" fillId="0" borderId="0" xfId="0" applyNumberFormat="1" applyFont="1" applyBorder="1" applyProtection="1">
      <protection locked="0"/>
    </xf>
    <xf numFmtId="0" fontId="52" fillId="0" borderId="0" xfId="18" applyFont="1" applyBorder="1" applyAlignment="1" applyProtection="1">
      <alignment horizontal="left"/>
    </xf>
    <xf numFmtId="167" fontId="37" fillId="0" borderId="0" xfId="0" applyNumberFormat="1" applyFont="1" applyBorder="1" applyProtection="1"/>
    <xf numFmtId="0" fontId="43" fillId="0" borderId="0" xfId="0" applyFont="1" applyBorder="1" applyAlignment="1" applyProtection="1">
      <alignment horizontal="center"/>
    </xf>
    <xf numFmtId="0" fontId="57" fillId="0" borderId="0" xfId="18" applyFont="1" applyBorder="1" applyProtection="1"/>
    <xf numFmtId="0" fontId="37" fillId="0" borderId="0" xfId="0" applyFont="1" applyFill="1" applyBorder="1" applyAlignment="1" applyProtection="1">
      <alignment horizontal="center"/>
    </xf>
    <xf numFmtId="0" fontId="57" fillId="0" borderId="0" xfId="18" applyFont="1" applyFill="1" applyBorder="1" applyProtection="1"/>
    <xf numFmtId="0" fontId="40" fillId="0" borderId="0" xfId="18" applyFont="1" applyFill="1" applyBorder="1" applyAlignment="1" applyProtection="1">
      <alignment horizontal="left" vertical="center"/>
    </xf>
    <xf numFmtId="0" fontId="36" fillId="0" borderId="0" xfId="0" applyFont="1" applyFill="1" applyBorder="1" applyProtection="1"/>
    <xf numFmtId="167" fontId="58" fillId="0" borderId="0" xfId="18" applyNumberFormat="1" applyFont="1" applyFill="1" applyBorder="1" applyAlignment="1" applyProtection="1">
      <alignment horizontal="center" vertical="center" wrapText="1"/>
    </xf>
    <xf numFmtId="1" fontId="36" fillId="0" borderId="0" xfId="0" applyNumberFormat="1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/>
    </xf>
    <xf numFmtId="0" fontId="36" fillId="0" borderId="0" xfId="18" applyFont="1" applyFill="1" applyBorder="1" applyAlignment="1" applyProtection="1">
      <alignment horizontal="left" vertical="center"/>
    </xf>
    <xf numFmtId="0" fontId="36" fillId="0" borderId="0" xfId="18" applyFont="1" applyFill="1" applyBorder="1" applyAlignment="1" applyProtection="1">
      <alignment horizontal="left" vertical="center" wrapText="1"/>
    </xf>
    <xf numFmtId="167" fontId="36" fillId="0" borderId="0" xfId="18" applyNumberFormat="1" applyFont="1" applyFill="1" applyBorder="1" applyAlignment="1" applyProtection="1">
      <alignment horizontal="center" vertical="center" wrapText="1"/>
    </xf>
    <xf numFmtId="167" fontId="36" fillId="0" borderId="0" xfId="18" applyNumberFormat="1" applyFont="1" applyFill="1" applyBorder="1" applyAlignment="1" applyProtection="1">
      <alignment horizontal="center" vertical="center"/>
    </xf>
    <xf numFmtId="0" fontId="43" fillId="0" borderId="0" xfId="0" applyFont="1" applyFill="1" applyBorder="1" applyProtection="1"/>
    <xf numFmtId="0" fontId="40" fillId="0" borderId="0" xfId="18" applyFont="1" applyFill="1" applyBorder="1" applyAlignment="1" applyProtection="1">
      <alignment horizontal="left" vertical="center" wrapText="1"/>
    </xf>
    <xf numFmtId="0" fontId="36" fillId="0" borderId="0" xfId="0" applyFont="1" applyBorder="1" applyAlignment="1" applyProtection="1">
      <alignment horizontal="right"/>
    </xf>
    <xf numFmtId="1" fontId="36" fillId="0" borderId="0" xfId="0" applyNumberFormat="1" applyFont="1" applyFill="1" applyBorder="1" applyAlignment="1" applyProtection="1">
      <alignment horizontal="center"/>
    </xf>
    <xf numFmtId="0" fontId="43" fillId="0" borderId="0" xfId="0" applyFont="1" applyBorder="1" applyAlignment="1" applyProtection="1">
      <alignment horizontal="left"/>
    </xf>
    <xf numFmtId="167" fontId="42" fillId="0" borderId="0" xfId="18" applyNumberFormat="1" applyFont="1" applyFill="1" applyBorder="1" applyAlignment="1" applyProtection="1">
      <alignment horizontal="center" vertical="center" wrapText="1"/>
    </xf>
    <xf numFmtId="1" fontId="36" fillId="0" borderId="0" xfId="0" applyNumberFormat="1" applyFont="1" applyBorder="1" applyProtection="1"/>
    <xf numFmtId="167" fontId="36" fillId="0" borderId="0" xfId="0" applyNumberFormat="1" applyFont="1" applyFill="1" applyBorder="1" applyAlignment="1" applyProtection="1">
      <alignment horizontal="center"/>
    </xf>
    <xf numFmtId="0" fontId="59" fillId="0" borderId="0" xfId="0" applyFont="1" applyBorder="1" applyAlignment="1" applyProtection="1">
      <alignment horizontal="center" vertical="center"/>
      <protection locked="0"/>
    </xf>
    <xf numFmtId="0" fontId="60" fillId="0" borderId="0" xfId="0" applyFont="1" applyBorder="1" applyProtection="1"/>
    <xf numFmtId="0" fontId="43" fillId="6" borderId="0" xfId="0" applyFont="1" applyFill="1" applyBorder="1" applyProtection="1"/>
    <xf numFmtId="0" fontId="43" fillId="6" borderId="0" xfId="0" applyFont="1" applyFill="1" applyBorder="1" applyAlignment="1" applyProtection="1">
      <alignment horizontal="right"/>
    </xf>
    <xf numFmtId="0" fontId="36" fillId="0" borderId="0" xfId="18" applyFont="1" applyBorder="1" applyProtection="1"/>
    <xf numFmtId="0" fontId="61" fillId="0" borderId="0" xfId="18" applyFont="1" applyBorder="1" applyProtection="1"/>
    <xf numFmtId="1" fontId="36" fillId="0" borderId="0" xfId="18" applyNumberFormat="1" applyFont="1" applyBorder="1" applyProtection="1"/>
    <xf numFmtId="0" fontId="36" fillId="6" borderId="0" xfId="0" applyFont="1" applyFill="1" applyBorder="1" applyProtection="1"/>
    <xf numFmtId="0" fontId="36" fillId="6" borderId="0" xfId="0" applyFont="1" applyFill="1" applyBorder="1" applyAlignment="1" applyProtection="1">
      <alignment horizontal="right"/>
    </xf>
    <xf numFmtId="0" fontId="46" fillId="0" borderId="0" xfId="18" applyFont="1" applyBorder="1" applyAlignment="1" applyProtection="1">
      <alignment horizontal="center"/>
    </xf>
    <xf numFmtId="0" fontId="62" fillId="0" borderId="0" xfId="18" applyFont="1" applyBorder="1" applyAlignment="1" applyProtection="1">
      <alignment horizontal="center"/>
    </xf>
    <xf numFmtId="0" fontId="36" fillId="0" borderId="0" xfId="18" applyFont="1" applyBorder="1" applyAlignment="1" applyProtection="1">
      <alignment horizontal="center"/>
    </xf>
    <xf numFmtId="0" fontId="46" fillId="0" borderId="0" xfId="18" applyFont="1" applyBorder="1" applyAlignment="1" applyProtection="1">
      <alignment horizontal="left"/>
    </xf>
    <xf numFmtId="0" fontId="63" fillId="0" borderId="0" xfId="18" applyFont="1" applyBorder="1" applyProtection="1"/>
    <xf numFmtId="0" fontId="63" fillId="0" borderId="0" xfId="18" applyFont="1" applyBorder="1" applyAlignment="1" applyProtection="1">
      <alignment horizontal="left"/>
    </xf>
    <xf numFmtId="0" fontId="65" fillId="0" borderId="0" xfId="18" applyFont="1" applyBorder="1" applyProtection="1"/>
    <xf numFmtId="0" fontId="65" fillId="0" borderId="0" xfId="18" applyFont="1" applyBorder="1" applyAlignment="1" applyProtection="1">
      <alignment vertical="center"/>
    </xf>
    <xf numFmtId="0" fontId="36" fillId="0" borderId="0" xfId="18" applyFont="1" applyBorder="1" applyAlignment="1" applyProtection="1">
      <alignment vertical="center"/>
    </xf>
    <xf numFmtId="0" fontId="48" fillId="0" borderId="0" xfId="20" applyFont="1" applyBorder="1" applyAlignment="1" applyProtection="1">
      <alignment horizontal="center" vertical="center" wrapText="1"/>
    </xf>
    <xf numFmtId="0" fontId="37" fillId="0" borderId="0" xfId="20" applyFont="1" applyBorder="1" applyAlignment="1" applyProtection="1">
      <alignment horizontal="center" vertical="center"/>
    </xf>
    <xf numFmtId="0" fontId="36" fillId="0" borderId="0" xfId="20" applyFont="1" applyBorder="1" applyAlignment="1" applyProtection="1">
      <alignment horizontal="center" vertical="center"/>
    </xf>
    <xf numFmtId="0" fontId="37" fillId="0" borderId="0" xfId="20" applyFont="1" applyBorder="1" applyAlignment="1" applyProtection="1">
      <alignment horizontal="center"/>
    </xf>
    <xf numFmtId="0" fontId="46" fillId="0" borderId="0" xfId="20" applyFont="1" applyBorder="1" applyAlignment="1" applyProtection="1">
      <alignment horizontal="center" vertical="center" wrapText="1"/>
    </xf>
    <xf numFmtId="0" fontId="37" fillId="0" borderId="0" xfId="18" applyFont="1" applyBorder="1" applyProtection="1"/>
    <xf numFmtId="0" fontId="37" fillId="0" borderId="0" xfId="18" applyFont="1" applyBorder="1" applyAlignment="1" applyProtection="1">
      <alignment horizontal="left"/>
    </xf>
    <xf numFmtId="2" fontId="46" fillId="3" borderId="0" xfId="18" applyNumberFormat="1" applyFont="1" applyFill="1" applyBorder="1" applyAlignment="1" applyProtection="1">
      <alignment horizontal="center"/>
    </xf>
    <xf numFmtId="167" fontId="46" fillId="3" borderId="0" xfId="18" applyNumberFormat="1" applyFont="1" applyFill="1" applyBorder="1" applyAlignment="1" applyProtection="1">
      <alignment horizontal="center"/>
    </xf>
    <xf numFmtId="0" fontId="37" fillId="3" borderId="0" xfId="18" applyFont="1" applyFill="1" applyBorder="1" applyAlignment="1" applyProtection="1">
      <alignment horizontal="center"/>
    </xf>
    <xf numFmtId="0" fontId="37" fillId="2" borderId="0" xfId="18" applyFont="1" applyFill="1" applyBorder="1" applyAlignment="1" applyProtection="1">
      <alignment horizontal="center"/>
    </xf>
    <xf numFmtId="0" fontId="37" fillId="0" borderId="0" xfId="18" applyFont="1" applyBorder="1" applyAlignment="1" applyProtection="1">
      <alignment horizontal="center" wrapText="1"/>
    </xf>
    <xf numFmtId="0" fontId="36" fillId="0" borderId="0" xfId="18" applyFont="1" applyBorder="1"/>
    <xf numFmtId="0" fontId="69" fillId="29" borderId="4" xfId="67" applyFont="1" applyFill="1" applyBorder="1" applyProtection="1">
      <protection hidden="1"/>
    </xf>
    <xf numFmtId="0" fontId="0" fillId="29" borderId="0" xfId="0" applyFill="1"/>
    <xf numFmtId="0" fontId="69" fillId="29" borderId="0" xfId="67" applyFont="1" applyFill="1" applyBorder="1" applyProtection="1">
      <protection hidden="1"/>
    </xf>
    <xf numFmtId="0" fontId="67" fillId="29" borderId="36" xfId="67" applyFont="1" applyFill="1" applyBorder="1" applyAlignment="1" applyProtection="1">
      <alignment horizontal="left" vertical="center"/>
      <protection hidden="1"/>
    </xf>
    <xf numFmtId="0" fontId="67" fillId="29" borderId="37" xfId="67" applyFont="1" applyFill="1" applyBorder="1" applyAlignment="1" applyProtection="1">
      <alignment horizontal="left" vertical="center"/>
      <protection hidden="1"/>
    </xf>
    <xf numFmtId="0" fontId="67" fillId="29" borderId="3" xfId="67" applyFont="1" applyFill="1" applyBorder="1" applyAlignment="1" applyProtection="1">
      <alignment horizontal="left" vertical="center"/>
      <protection hidden="1"/>
    </xf>
    <xf numFmtId="0" fontId="69" fillId="29" borderId="4" xfId="67" applyFont="1" applyFill="1" applyBorder="1" applyProtection="1">
      <protection hidden="1"/>
    </xf>
    <xf numFmtId="49" fontId="70" fillId="29" borderId="0" xfId="67" applyNumberFormat="1" applyFont="1" applyFill="1" applyBorder="1" applyProtection="1">
      <protection hidden="1"/>
    </xf>
    <xf numFmtId="0" fontId="0" fillId="29" borderId="4" xfId="0" applyFill="1" applyBorder="1"/>
    <xf numFmtId="0" fontId="0" fillId="29" borderId="7" xfId="0" applyFill="1" applyBorder="1"/>
    <xf numFmtId="0" fontId="2" fillId="29" borderId="0" xfId="0" applyFont="1" applyFill="1"/>
    <xf numFmtId="0" fontId="67" fillId="2" borderId="36" xfId="67" applyFont="1" applyFill="1" applyBorder="1" applyAlignment="1" applyProtection="1">
      <alignment vertical="center"/>
      <protection hidden="1"/>
    </xf>
    <xf numFmtId="0" fontId="67" fillId="2" borderId="47" xfId="67" applyFont="1" applyFill="1" applyBorder="1" applyAlignment="1" applyProtection="1">
      <alignment vertical="center"/>
      <protection hidden="1"/>
    </xf>
    <xf numFmtId="0" fontId="67" fillId="2" borderId="44" xfId="67" applyFont="1" applyFill="1" applyBorder="1" applyAlignment="1" applyProtection="1">
      <alignment vertical="center"/>
      <protection hidden="1"/>
    </xf>
    <xf numFmtId="0" fontId="67" fillId="2" borderId="21" xfId="67" applyFont="1" applyFill="1" applyBorder="1" applyAlignment="1" applyProtection="1">
      <alignment vertical="center"/>
      <protection hidden="1"/>
    </xf>
    <xf numFmtId="0" fontId="67" fillId="2" borderId="37" xfId="67" applyFont="1" applyFill="1" applyBorder="1" applyAlignment="1" applyProtection="1">
      <alignment vertical="center"/>
      <protection hidden="1"/>
    </xf>
    <xf numFmtId="0" fontId="67" fillId="2" borderId="39" xfId="67" applyFont="1" applyFill="1" applyBorder="1" applyAlignment="1" applyProtection="1">
      <alignment vertical="center"/>
      <protection hidden="1"/>
    </xf>
    <xf numFmtId="0" fontId="11" fillId="29" borderId="0" xfId="18" applyFont="1" applyFill="1" applyBorder="1" applyAlignment="1" applyProtection="1">
      <alignment horizontal="left"/>
    </xf>
    <xf numFmtId="0" fontId="0" fillId="29" borderId="0" xfId="0" applyFill="1" applyBorder="1"/>
    <xf numFmtId="0" fontId="0" fillId="29" borderId="6" xfId="0" applyFill="1" applyBorder="1"/>
    <xf numFmtId="0" fontId="0" fillId="29" borderId="5" xfId="0" applyFill="1" applyBorder="1"/>
    <xf numFmtId="0" fontId="41" fillId="0" borderId="0" xfId="0" applyFont="1" applyBorder="1" applyAlignment="1" applyProtection="1"/>
    <xf numFmtId="1" fontId="45" fillId="29" borderId="0" xfId="18" applyNumberFormat="1" applyFont="1" applyFill="1" applyBorder="1" applyAlignment="1" applyProtection="1">
      <alignment horizontal="center" vertical="center"/>
      <protection locked="0"/>
    </xf>
    <xf numFmtId="1" fontId="72" fillId="29" borderId="43" xfId="18" applyNumberFormat="1" applyFont="1" applyFill="1" applyBorder="1" applyAlignment="1" applyProtection="1">
      <alignment horizontal="center" vertical="center"/>
      <protection locked="0"/>
    </xf>
    <xf numFmtId="1" fontId="72" fillId="29" borderId="32" xfId="18" applyNumberFormat="1" applyFont="1" applyFill="1" applyBorder="1" applyAlignment="1" applyProtection="1">
      <alignment horizontal="center" vertical="center"/>
      <protection locked="0"/>
    </xf>
    <xf numFmtId="1" fontId="72" fillId="29" borderId="35" xfId="18" applyNumberFormat="1" applyFont="1" applyFill="1" applyBorder="1" applyAlignment="1" applyProtection="1">
      <alignment horizontal="center" vertical="center"/>
      <protection locked="0"/>
    </xf>
    <xf numFmtId="1" fontId="72" fillId="29" borderId="42" xfId="18" applyNumberFormat="1" applyFont="1" applyFill="1" applyBorder="1" applyAlignment="1" applyProtection="1">
      <alignment horizontal="center" vertical="center"/>
      <protection locked="0"/>
    </xf>
    <xf numFmtId="1" fontId="72" fillId="29" borderId="23" xfId="18" applyNumberFormat="1" applyFont="1" applyFill="1" applyBorder="1" applyAlignment="1" applyProtection="1">
      <alignment horizontal="center" vertical="center"/>
      <protection locked="0"/>
    </xf>
    <xf numFmtId="1" fontId="72" fillId="29" borderId="34" xfId="18" applyNumberFormat="1" applyFont="1" applyFill="1" applyBorder="1" applyAlignment="1" applyProtection="1">
      <alignment horizontal="center" vertical="center"/>
      <protection locked="0"/>
    </xf>
    <xf numFmtId="0" fontId="73" fillId="0" borderId="0" xfId="18" applyFont="1" applyBorder="1" applyProtection="1"/>
    <xf numFmtId="22" fontId="73" fillId="0" borderId="0" xfId="18" applyNumberFormat="1" applyFont="1" applyBorder="1" applyAlignment="1" applyProtection="1">
      <alignment horizontal="center"/>
    </xf>
    <xf numFmtId="0" fontId="74" fillId="0" borderId="0" xfId="0" applyFont="1" applyBorder="1" applyProtection="1"/>
    <xf numFmtId="0" fontId="75" fillId="0" borderId="0" xfId="0" applyFont="1" applyBorder="1" applyProtection="1"/>
    <xf numFmtId="0" fontId="73" fillId="0" borderId="0" xfId="18" applyFont="1" applyFill="1" applyBorder="1" applyAlignment="1" applyProtection="1">
      <alignment horizontal="center"/>
    </xf>
    <xf numFmtId="0" fontId="76" fillId="0" borderId="0" xfId="0" applyFont="1" applyBorder="1" applyProtection="1">
      <protection locked="0"/>
    </xf>
    <xf numFmtId="0" fontId="77" fillId="0" borderId="0" xfId="22" applyFont="1"/>
    <xf numFmtId="0" fontId="74" fillId="0" borderId="0" xfId="0" applyFont="1" applyBorder="1" applyAlignment="1" applyProtection="1"/>
    <xf numFmtId="2" fontId="76" fillId="0" borderId="0" xfId="0" applyNumberFormat="1" applyFont="1" applyBorder="1" applyProtection="1">
      <protection locked="0"/>
    </xf>
    <xf numFmtId="0" fontId="78" fillId="0" borderId="0" xfId="0" applyFont="1" applyBorder="1" applyProtection="1"/>
    <xf numFmtId="1" fontId="76" fillId="0" borderId="0" xfId="0" applyNumberFormat="1" applyFont="1" applyFill="1" applyBorder="1" applyProtection="1"/>
    <xf numFmtId="167" fontId="73" fillId="0" borderId="0" xfId="18" applyNumberFormat="1" applyFont="1" applyBorder="1" applyAlignment="1" applyProtection="1">
      <alignment horizontal="center"/>
    </xf>
    <xf numFmtId="0" fontId="42" fillId="29" borderId="0" xfId="18" applyFont="1" applyFill="1" applyBorder="1" applyAlignment="1" applyProtection="1">
      <alignment horizontal="left"/>
    </xf>
    <xf numFmtId="0" fontId="41" fillId="29" borderId="0" xfId="18" applyFont="1" applyFill="1" applyBorder="1" applyAlignment="1" applyProtection="1">
      <alignment horizontal="center"/>
    </xf>
    <xf numFmtId="0" fontId="36" fillId="29" borderId="0" xfId="0" applyFont="1" applyFill="1" applyBorder="1" applyProtection="1"/>
    <xf numFmtId="0" fontId="41" fillId="29" borderId="0" xfId="18" applyFont="1" applyFill="1" applyBorder="1" applyProtection="1"/>
    <xf numFmtId="0" fontId="41" fillId="29" borderId="0" xfId="18" applyFont="1" applyFill="1" applyBorder="1" applyAlignment="1" applyProtection="1">
      <alignment horizontal="left"/>
    </xf>
    <xf numFmtId="0" fontId="41" fillId="29" borderId="0" xfId="18" applyFont="1" applyFill="1" applyBorder="1" applyAlignment="1" applyProtection="1">
      <alignment horizontal="right"/>
    </xf>
    <xf numFmtId="2" fontId="41" fillId="29" borderId="0" xfId="18" applyNumberFormat="1" applyFont="1" applyFill="1" applyBorder="1" applyAlignment="1" applyProtection="1">
      <alignment horizontal="center"/>
    </xf>
    <xf numFmtId="0" fontId="45" fillId="29" borderId="0" xfId="18" applyFont="1" applyFill="1" applyBorder="1" applyAlignment="1" applyProtection="1">
      <alignment horizontal="left"/>
    </xf>
    <xf numFmtId="0" fontId="42" fillId="29" borderId="0" xfId="18" applyFont="1" applyFill="1" applyBorder="1" applyProtection="1"/>
    <xf numFmtId="0" fontId="41" fillId="29" borderId="0" xfId="18" applyFont="1" applyFill="1" applyBorder="1" applyAlignment="1" applyProtection="1"/>
    <xf numFmtId="0" fontId="0" fillId="29" borderId="0" xfId="0" applyFill="1" applyBorder="1" applyAlignment="1">
      <alignment horizontal="center"/>
    </xf>
    <xf numFmtId="167" fontId="41" fillId="29" borderId="0" xfId="18" applyNumberFormat="1" applyFont="1" applyFill="1" applyBorder="1" applyAlignment="1" applyProtection="1">
      <alignment vertical="center"/>
    </xf>
    <xf numFmtId="0" fontId="14" fillId="29" borderId="0" xfId="18" applyFont="1" applyFill="1" applyBorder="1" applyProtection="1"/>
    <xf numFmtId="2" fontId="14" fillId="29" borderId="0" xfId="18" applyNumberFormat="1" applyFont="1" applyFill="1" applyBorder="1" applyAlignment="1" applyProtection="1">
      <alignment horizontal="center"/>
    </xf>
    <xf numFmtId="0" fontId="69" fillId="29" borderId="0" xfId="18" applyFont="1" applyFill="1" applyBorder="1" applyProtection="1"/>
    <xf numFmtId="1" fontId="80" fillId="29" borderId="32" xfId="18" applyNumberFormat="1" applyFont="1" applyFill="1" applyBorder="1" applyAlignment="1" applyProtection="1">
      <alignment horizontal="center" vertical="center"/>
      <protection locked="0"/>
    </xf>
    <xf numFmtId="1" fontId="80" fillId="29" borderId="43" xfId="18" applyNumberFormat="1" applyFont="1" applyFill="1" applyBorder="1" applyAlignment="1" applyProtection="1">
      <alignment horizontal="center" vertical="center"/>
      <protection locked="0"/>
    </xf>
    <xf numFmtId="1" fontId="80" fillId="29" borderId="35" xfId="18" applyNumberFormat="1" applyFont="1" applyFill="1" applyBorder="1" applyAlignment="1" applyProtection="1">
      <alignment horizontal="center" vertical="center"/>
      <protection locked="0"/>
    </xf>
    <xf numFmtId="0" fontId="41" fillId="29" borderId="7" xfId="18" applyFont="1" applyFill="1" applyBorder="1" applyProtection="1"/>
    <xf numFmtId="167" fontId="41" fillId="29" borderId="7" xfId="18" applyNumberFormat="1" applyFont="1" applyFill="1" applyBorder="1" applyAlignment="1" applyProtection="1">
      <alignment horizontal="center"/>
    </xf>
    <xf numFmtId="0" fontId="0" fillId="29" borderId="8" xfId="0" applyFill="1" applyBorder="1"/>
    <xf numFmtId="0" fontId="69" fillId="29" borderId="6" xfId="18" applyFont="1" applyFill="1" applyBorder="1" applyProtection="1"/>
    <xf numFmtId="0" fontId="69" fillId="29" borderId="6" xfId="18" applyFont="1" applyFill="1" applyBorder="1" applyAlignment="1" applyProtection="1">
      <alignment horizontal="center"/>
    </xf>
    <xf numFmtId="167" fontId="41" fillId="29" borderId="6" xfId="18" applyNumberFormat="1" applyFont="1" applyFill="1" applyBorder="1" applyAlignment="1" applyProtection="1">
      <alignment vertical="center"/>
    </xf>
    <xf numFmtId="0" fontId="41" fillId="29" borderId="6" xfId="18" applyFont="1" applyFill="1" applyBorder="1" applyAlignment="1" applyProtection="1">
      <alignment horizontal="center" vertical="center"/>
    </xf>
    <xf numFmtId="0" fontId="15" fillId="29" borderId="53" xfId="0" applyFont="1" applyFill="1" applyBorder="1" applyAlignment="1">
      <alignment horizontal="center" vertical="center"/>
    </xf>
    <xf numFmtId="0" fontId="15" fillId="29" borderId="52" xfId="0" applyFont="1" applyFill="1" applyBorder="1" applyAlignment="1">
      <alignment horizontal="center" vertical="center"/>
    </xf>
    <xf numFmtId="0" fontId="15" fillId="29" borderId="30" xfId="0" applyFont="1" applyFill="1" applyBorder="1" applyAlignment="1">
      <alignment horizontal="center" vertical="center"/>
    </xf>
    <xf numFmtId="0" fontId="81" fillId="29" borderId="0" xfId="18" applyFont="1" applyFill="1" applyBorder="1" applyAlignment="1" applyProtection="1">
      <alignment horizontal="right" wrapText="1"/>
    </xf>
    <xf numFmtId="0" fontId="33" fillId="29" borderId="0" xfId="18" applyFont="1" applyFill="1" applyBorder="1" applyAlignment="1" applyProtection="1">
      <alignment horizontal="right"/>
    </xf>
    <xf numFmtId="0" fontId="34" fillId="29" borderId="0" xfId="0" applyFont="1" applyFill="1"/>
    <xf numFmtId="167" fontId="80" fillId="29" borderId="23" xfId="18" applyNumberFormat="1" applyFont="1" applyFill="1" applyBorder="1" applyAlignment="1" applyProtection="1">
      <alignment horizontal="center" vertical="center"/>
      <protection locked="0"/>
    </xf>
    <xf numFmtId="2" fontId="80" fillId="29" borderId="23" xfId="18" applyNumberFormat="1" applyFont="1" applyFill="1" applyBorder="1" applyAlignment="1" applyProtection="1">
      <alignment horizontal="center" vertical="center"/>
      <protection locked="0"/>
    </xf>
    <xf numFmtId="0" fontId="47" fillId="29" borderId="0" xfId="0" applyFont="1" applyFill="1" applyBorder="1" applyProtection="1"/>
    <xf numFmtId="2" fontId="41" fillId="29" borderId="0" xfId="18" applyNumberFormat="1" applyFont="1" applyFill="1" applyBorder="1" applyProtection="1"/>
    <xf numFmtId="0" fontId="41" fillId="29" borderId="0" xfId="0" applyFont="1" applyFill="1" applyBorder="1" applyAlignment="1" applyProtection="1">
      <alignment vertical="center"/>
    </xf>
    <xf numFmtId="0" fontId="40" fillId="29" borderId="0" xfId="18" applyFont="1" applyFill="1" applyBorder="1" applyAlignment="1" applyProtection="1">
      <alignment horizontal="center"/>
    </xf>
    <xf numFmtId="0" fontId="69" fillId="29" borderId="0" xfId="0" applyFont="1" applyFill="1" applyBorder="1" applyProtection="1"/>
    <xf numFmtId="2" fontId="71" fillId="29" borderId="0" xfId="18" applyNumberFormat="1" applyFont="1" applyFill="1" applyBorder="1" applyAlignment="1" applyProtection="1">
      <alignment horizontal="center"/>
    </xf>
    <xf numFmtId="167" fontId="71" fillId="29" borderId="0" xfId="18" applyNumberFormat="1" applyFont="1" applyFill="1" applyBorder="1" applyAlignment="1" applyProtection="1">
      <alignment horizontal="center"/>
    </xf>
    <xf numFmtId="0" fontId="0" fillId="29" borderId="0" xfId="0" applyFill="1" applyAlignment="1">
      <alignment horizontal="center"/>
    </xf>
    <xf numFmtId="0" fontId="15" fillId="29" borderId="7" xfId="0" applyFont="1" applyFill="1" applyBorder="1" applyAlignment="1">
      <alignment vertical="center" wrapText="1"/>
    </xf>
    <xf numFmtId="167" fontId="69" fillId="29" borderId="23" xfId="18" applyNumberFormat="1" applyFont="1" applyFill="1" applyBorder="1" applyAlignment="1" applyProtection="1">
      <alignment horizontal="center"/>
    </xf>
    <xf numFmtId="0" fontId="69" fillId="29" borderId="23" xfId="18" applyFont="1" applyFill="1" applyBorder="1" applyAlignment="1" applyProtection="1">
      <alignment horizontal="center"/>
    </xf>
    <xf numFmtId="1" fontId="69" fillId="29" borderId="23" xfId="18" applyNumberFormat="1" applyFont="1" applyFill="1" applyBorder="1" applyAlignment="1" applyProtection="1">
      <alignment horizontal="center"/>
    </xf>
    <xf numFmtId="167" fontId="69" fillId="29" borderId="34" xfId="18" applyNumberFormat="1" applyFont="1" applyFill="1" applyBorder="1" applyAlignment="1" applyProtection="1">
      <alignment horizontal="center"/>
    </xf>
    <xf numFmtId="0" fontId="69" fillId="29" borderId="34" xfId="18" applyFont="1" applyFill="1" applyBorder="1" applyAlignment="1" applyProtection="1">
      <alignment horizontal="center"/>
    </xf>
    <xf numFmtId="1" fontId="69" fillId="29" borderId="34" xfId="18" applyNumberFormat="1" applyFont="1" applyFill="1" applyBorder="1" applyAlignment="1" applyProtection="1">
      <alignment horizontal="center"/>
    </xf>
    <xf numFmtId="0" fontId="82" fillId="29" borderId="0" xfId="0" applyFont="1" applyFill="1" applyBorder="1"/>
    <xf numFmtId="0" fontId="82" fillId="29" borderId="41" xfId="0" applyFont="1" applyFill="1" applyBorder="1" applyAlignment="1">
      <alignment horizontal="center" vertical="center"/>
    </xf>
    <xf numFmtId="0" fontId="82" fillId="29" borderId="31" xfId="0" applyFont="1" applyFill="1" applyBorder="1" applyAlignment="1">
      <alignment horizontal="center" vertical="center"/>
    </xf>
    <xf numFmtId="0" fontId="82" fillId="29" borderId="33" xfId="0" applyFont="1" applyFill="1" applyBorder="1" applyAlignment="1">
      <alignment horizontal="center" vertical="center"/>
    </xf>
    <xf numFmtId="167" fontId="69" fillId="29" borderId="23" xfId="18" applyNumberFormat="1" applyFont="1" applyFill="1" applyBorder="1" applyAlignment="1" applyProtection="1">
      <alignment horizontal="center" vertical="center"/>
    </xf>
    <xf numFmtId="167" fontId="69" fillId="29" borderId="34" xfId="18" applyNumberFormat="1" applyFont="1" applyFill="1" applyBorder="1" applyAlignment="1" applyProtection="1">
      <alignment horizontal="center" vertical="center"/>
    </xf>
    <xf numFmtId="0" fontId="82" fillId="29" borderId="25" xfId="0" applyFont="1" applyFill="1" applyBorder="1" applyAlignment="1">
      <alignment horizontal="center" vertical="center"/>
    </xf>
    <xf numFmtId="0" fontId="82" fillId="29" borderId="23" xfId="0" applyFont="1" applyFill="1" applyBorder="1" applyAlignment="1">
      <alignment horizontal="center" vertical="center"/>
    </xf>
    <xf numFmtId="0" fontId="82" fillId="29" borderId="0" xfId="0" applyFont="1" applyFill="1" applyBorder="1" applyAlignment="1">
      <alignment horizontal="center"/>
    </xf>
    <xf numFmtId="0" fontId="82" fillId="29" borderId="43" xfId="0" applyFont="1" applyFill="1" applyBorder="1" applyAlignment="1">
      <alignment horizontal="center"/>
    </xf>
    <xf numFmtId="167" fontId="69" fillId="29" borderId="32" xfId="18" applyNumberFormat="1" applyFont="1" applyFill="1" applyBorder="1" applyAlignment="1" applyProtection="1">
      <alignment horizontal="center"/>
    </xf>
    <xf numFmtId="167" fontId="69" fillId="29" borderId="35" xfId="18" applyNumberFormat="1" applyFont="1" applyFill="1" applyBorder="1" applyAlignment="1" applyProtection="1">
      <alignment horizontal="center"/>
    </xf>
    <xf numFmtId="0" fontId="0" fillId="29" borderId="6" xfId="0" applyFill="1" applyBorder="1" applyAlignment="1">
      <alignment horizontal="center"/>
    </xf>
    <xf numFmtId="0" fontId="51" fillId="29" borderId="0" xfId="18" applyFont="1" applyFill="1" applyBorder="1" applyAlignment="1" applyProtection="1">
      <alignment horizontal="center" vertical="center"/>
    </xf>
    <xf numFmtId="0" fontId="36" fillId="0" borderId="0" xfId="0" applyFont="1" applyBorder="1" applyProtection="1"/>
    <xf numFmtId="0" fontId="37" fillId="0" borderId="0" xfId="20" applyFont="1" applyBorder="1" applyAlignment="1" applyProtection="1">
      <alignment horizontal="center"/>
    </xf>
    <xf numFmtId="0" fontId="36" fillId="0" borderId="0" xfId="18" applyFont="1" applyBorder="1" applyProtection="1"/>
    <xf numFmtId="0" fontId="37" fillId="0" borderId="0" xfId="18" applyFont="1" applyBorder="1" applyAlignment="1" applyProtection="1">
      <alignment vertical="center"/>
    </xf>
    <xf numFmtId="0" fontId="37" fillId="0" borderId="0" xfId="18" applyFont="1" applyBorder="1" applyAlignment="1" applyProtection="1">
      <alignment vertical="center" wrapText="1"/>
    </xf>
    <xf numFmtId="1" fontId="37" fillId="0" borderId="0" xfId="18" applyNumberFormat="1" applyFont="1" applyFill="1" applyBorder="1" applyAlignment="1" applyProtection="1">
      <alignment vertical="center"/>
    </xf>
    <xf numFmtId="0" fontId="46" fillId="0" borderId="0" xfId="18" applyFont="1" applyBorder="1" applyAlignment="1" applyProtection="1"/>
    <xf numFmtId="0" fontId="74" fillId="0" borderId="0" xfId="18" applyFont="1" applyBorder="1" applyProtection="1"/>
    <xf numFmtId="0" fontId="84" fillId="0" borderId="0" xfId="20" applyFont="1" applyBorder="1" applyAlignment="1" applyProtection="1">
      <alignment horizontal="left"/>
    </xf>
    <xf numFmtId="0" fontId="76" fillId="0" borderId="0" xfId="18" applyFont="1" applyBorder="1" applyAlignment="1" applyProtection="1"/>
    <xf numFmtId="2" fontId="84" fillId="0" borderId="0" xfId="18" applyNumberFormat="1" applyFont="1" applyBorder="1" applyAlignment="1" applyProtection="1">
      <alignment horizontal="left"/>
    </xf>
    <xf numFmtId="0" fontId="84" fillId="0" borderId="0" xfId="18" applyFont="1" applyBorder="1" applyProtection="1"/>
    <xf numFmtId="0" fontId="85" fillId="0" borderId="0" xfId="18" applyFont="1" applyBorder="1" applyProtection="1"/>
    <xf numFmtId="0" fontId="84" fillId="0" borderId="0" xfId="18" applyFont="1" applyBorder="1" applyAlignment="1" applyProtection="1">
      <alignment horizontal="left"/>
    </xf>
    <xf numFmtId="0" fontId="84" fillId="0" borderId="0" xfId="18" applyFont="1" applyBorder="1" applyAlignment="1" applyProtection="1">
      <alignment vertical="center"/>
    </xf>
    <xf numFmtId="0" fontId="84" fillId="0" borderId="0" xfId="18" applyFont="1" applyBorder="1" applyAlignment="1" applyProtection="1">
      <alignment horizontal="left" vertical="center"/>
    </xf>
    <xf numFmtId="0" fontId="84" fillId="0" borderId="0" xfId="18" applyFont="1" applyBorder="1" applyAlignment="1" applyProtection="1">
      <alignment vertical="top"/>
    </xf>
    <xf numFmtId="0" fontId="84" fillId="0" borderId="0" xfId="18" applyFont="1" applyBorder="1" applyAlignment="1" applyProtection="1">
      <alignment horizontal="center" wrapText="1"/>
    </xf>
    <xf numFmtId="0" fontId="84" fillId="0" borderId="0" xfId="18" applyFont="1" applyBorder="1" applyAlignment="1" applyProtection="1">
      <alignment horizontal="center"/>
    </xf>
    <xf numFmtId="0" fontId="84" fillId="0" borderId="0" xfId="18" applyFont="1" applyBorder="1" applyAlignment="1" applyProtection="1">
      <alignment vertical="center" wrapText="1"/>
    </xf>
    <xf numFmtId="0" fontId="84" fillId="0" borderId="0" xfId="18" applyFont="1" applyBorder="1" applyAlignment="1" applyProtection="1">
      <alignment horizontal="left" vertical="center" wrapText="1"/>
    </xf>
    <xf numFmtId="1" fontId="84" fillId="0" borderId="0" xfId="18" applyNumberFormat="1" applyFont="1" applyFill="1" applyBorder="1" applyAlignment="1" applyProtection="1">
      <alignment vertical="center"/>
    </xf>
    <xf numFmtId="1" fontId="76" fillId="3" borderId="0" xfId="18" applyNumberFormat="1" applyFont="1" applyFill="1" applyBorder="1" applyAlignment="1" applyProtection="1">
      <alignment vertical="center"/>
    </xf>
    <xf numFmtId="167" fontId="76" fillId="3" borderId="0" xfId="18" applyNumberFormat="1" applyFont="1" applyFill="1" applyBorder="1" applyAlignment="1" applyProtection="1">
      <alignment horizontal="center"/>
    </xf>
    <xf numFmtId="2" fontId="76" fillId="3" borderId="0" xfId="18" applyNumberFormat="1" applyFont="1" applyFill="1" applyBorder="1" applyAlignment="1" applyProtection="1">
      <alignment horizontal="center"/>
    </xf>
    <xf numFmtId="0" fontId="74" fillId="0" borderId="0" xfId="18" applyFont="1" applyBorder="1"/>
    <xf numFmtId="167" fontId="84" fillId="3" borderId="0" xfId="18" applyNumberFormat="1" applyFont="1" applyFill="1" applyBorder="1" applyAlignment="1" applyProtection="1">
      <alignment horizontal="left" vertical="center"/>
    </xf>
    <xf numFmtId="1" fontId="84" fillId="3" borderId="0" xfId="18" applyNumberFormat="1" applyFont="1" applyFill="1" applyBorder="1" applyAlignment="1" applyProtection="1">
      <alignment horizontal="left" vertical="center"/>
    </xf>
    <xf numFmtId="167" fontId="84" fillId="3" borderId="0" xfId="18" applyNumberFormat="1" applyFont="1" applyFill="1" applyBorder="1" applyAlignment="1" applyProtection="1">
      <alignment vertical="center"/>
    </xf>
    <xf numFmtId="0" fontId="15" fillId="0" borderId="0" xfId="0" applyFont="1"/>
    <xf numFmtId="177" fontId="15" fillId="0" borderId="0" xfId="0" applyNumberFormat="1" applyFont="1"/>
    <xf numFmtId="3" fontId="15" fillId="0" borderId="0" xfId="0" applyNumberFormat="1" applyFont="1"/>
    <xf numFmtId="0" fontId="0" fillId="0" borderId="0" xfId="0" quotePrefix="1"/>
    <xf numFmtId="49" fontId="46" fillId="0" borderId="0" xfId="18" applyNumberFormat="1" applyFont="1" applyBorder="1" applyAlignment="1" applyProtection="1"/>
    <xf numFmtId="0" fontId="46" fillId="0" borderId="0" xfId="18" applyNumberFormat="1" applyFont="1" applyBorder="1" applyAlignment="1" applyProtection="1"/>
    <xf numFmtId="0" fontId="36" fillId="0" borderId="0" xfId="18" applyNumberFormat="1" applyFont="1" applyBorder="1" applyProtection="1"/>
    <xf numFmtId="0" fontId="36" fillId="0" borderId="0" xfId="20" applyNumberFormat="1" applyFont="1" applyBorder="1" applyProtection="1"/>
    <xf numFmtId="49" fontId="36" fillId="0" borderId="0" xfId="18" applyNumberFormat="1" applyFont="1" applyBorder="1" applyProtection="1"/>
    <xf numFmtId="49" fontId="36" fillId="0" borderId="0" xfId="18" applyNumberFormat="1" applyFont="1" applyBorder="1" applyAlignment="1" applyProtection="1">
      <alignment horizontal="center"/>
    </xf>
    <xf numFmtId="2" fontId="72" fillId="29" borderId="32" xfId="18" applyNumberFormat="1" applyFont="1" applyFill="1" applyBorder="1" applyAlignment="1" applyProtection="1">
      <alignment horizontal="center" vertical="center"/>
      <protection locked="0"/>
    </xf>
    <xf numFmtId="0" fontId="67" fillId="2" borderId="44" xfId="67" applyFont="1" applyFill="1" applyBorder="1" applyAlignment="1" applyProtection="1">
      <alignment horizontal="left" vertical="center"/>
      <protection hidden="1"/>
    </xf>
    <xf numFmtId="0" fontId="67" fillId="2" borderId="21" xfId="67" applyFont="1" applyFill="1" applyBorder="1" applyAlignment="1" applyProtection="1">
      <alignment horizontal="left" vertical="center"/>
      <protection hidden="1"/>
    </xf>
    <xf numFmtId="0" fontId="67" fillId="2" borderId="22" xfId="67" applyFont="1" applyFill="1" applyBorder="1" applyAlignment="1" applyProtection="1">
      <alignment horizontal="left" vertical="center"/>
      <protection hidden="1"/>
    </xf>
    <xf numFmtId="0" fontId="0" fillId="29" borderId="60" xfId="0" applyFill="1" applyBorder="1"/>
    <xf numFmtId="0" fontId="2" fillId="29" borderId="0" xfId="0" applyFont="1" applyFill="1" applyBorder="1"/>
    <xf numFmtId="178" fontId="72" fillId="29" borderId="32" xfId="18" applyNumberFormat="1" applyFont="1" applyFill="1" applyBorder="1" applyAlignment="1" applyProtection="1">
      <alignment horizontal="center" vertical="center"/>
      <protection locked="0"/>
    </xf>
    <xf numFmtId="0" fontId="0" fillId="29" borderId="1" xfId="0" applyFill="1" applyBorder="1"/>
    <xf numFmtId="2" fontId="72" fillId="29" borderId="35" xfId="18" applyNumberFormat="1" applyFont="1" applyFill="1" applyBorder="1" applyAlignment="1" applyProtection="1">
      <alignment horizontal="center" vertical="center"/>
      <protection locked="0"/>
    </xf>
    <xf numFmtId="2" fontId="80" fillId="29" borderId="34" xfId="18" applyNumberFormat="1" applyFont="1" applyFill="1" applyBorder="1" applyAlignment="1" applyProtection="1">
      <alignment horizontal="center" vertical="center"/>
      <protection locked="0"/>
    </xf>
    <xf numFmtId="0" fontId="0" fillId="29" borderId="79" xfId="0" applyFill="1" applyBorder="1"/>
    <xf numFmtId="0" fontId="0" fillId="29" borderId="67" xfId="0" applyFill="1" applyBorder="1"/>
    <xf numFmtId="0" fontId="0" fillId="29" borderId="68" xfId="0" applyFill="1" applyBorder="1"/>
    <xf numFmtId="0" fontId="0" fillId="29" borderId="69" xfId="0" applyFill="1" applyBorder="1"/>
    <xf numFmtId="0" fontId="0" fillId="29" borderId="70" xfId="0" applyFill="1" applyBorder="1"/>
    <xf numFmtId="0" fontId="0" fillId="29" borderId="71" xfId="0" applyFill="1" applyBorder="1"/>
    <xf numFmtId="0" fontId="0" fillId="29" borderId="80" xfId="0" applyFill="1" applyBorder="1"/>
    <xf numFmtId="0" fontId="0" fillId="29" borderId="81" xfId="0" applyFill="1" applyBorder="1"/>
    <xf numFmtId="0" fontId="0" fillId="29" borderId="82" xfId="0" applyFill="1" applyBorder="1" applyAlignment="1">
      <alignment wrapText="1"/>
    </xf>
    <xf numFmtId="0" fontId="0" fillId="29" borderId="83" xfId="0" applyFill="1" applyBorder="1" applyAlignment="1">
      <alignment wrapText="1"/>
    </xf>
    <xf numFmtId="0" fontId="0" fillId="29" borderId="84" xfId="0" applyFill="1" applyBorder="1" applyAlignment="1">
      <alignment wrapText="1"/>
    </xf>
    <xf numFmtId="0" fontId="0" fillId="29" borderId="86" xfId="0" applyFill="1" applyBorder="1"/>
    <xf numFmtId="0" fontId="0" fillId="29" borderId="82" xfId="0" applyFill="1" applyBorder="1" applyAlignment="1">
      <alignment horizontal="center"/>
    </xf>
    <xf numFmtId="2" fontId="69" fillId="29" borderId="23" xfId="18" applyNumberFormat="1" applyFont="1" applyFill="1" applyBorder="1" applyAlignment="1" applyProtection="1">
      <alignment horizontal="center"/>
    </xf>
    <xf numFmtId="2" fontId="69" fillId="29" borderId="34" xfId="18" applyNumberFormat="1" applyFont="1" applyFill="1" applyBorder="1" applyAlignment="1" applyProtection="1">
      <alignment horizontal="center"/>
    </xf>
    <xf numFmtId="2" fontId="69" fillId="29" borderId="35" xfId="18" applyNumberFormat="1" applyFont="1" applyFill="1" applyBorder="1" applyAlignment="1" applyProtection="1">
      <alignment horizontal="center"/>
    </xf>
    <xf numFmtId="2" fontId="69" fillId="29" borderId="0" xfId="18" applyNumberFormat="1" applyFont="1" applyFill="1" applyBorder="1" applyAlignment="1" applyProtection="1">
      <alignment horizontal="center"/>
    </xf>
    <xf numFmtId="2" fontId="69" fillId="29" borderId="32" xfId="18" applyNumberFormat="1" applyFont="1" applyFill="1" applyBorder="1" applyAlignment="1" applyProtection="1">
      <alignment horizontal="center"/>
    </xf>
    <xf numFmtId="1" fontId="80" fillId="29" borderId="42" xfId="18" applyNumberFormat="1" applyFont="1" applyFill="1" applyBorder="1" applyAlignment="1" applyProtection="1">
      <alignment horizontal="center" vertical="center"/>
      <protection locked="0"/>
    </xf>
    <xf numFmtId="0" fontId="41" fillId="29" borderId="0" xfId="18" applyFont="1" applyFill="1" applyBorder="1" applyProtection="1"/>
    <xf numFmtId="2" fontId="80" fillId="31" borderId="23" xfId="18" applyNumberFormat="1" applyFont="1" applyFill="1" applyBorder="1" applyAlignment="1" applyProtection="1">
      <alignment horizontal="center" vertical="center"/>
      <protection locked="0"/>
    </xf>
    <xf numFmtId="0" fontId="69" fillId="29" borderId="0" xfId="18" applyFont="1" applyFill="1" applyBorder="1" applyAlignment="1" applyProtection="1">
      <alignment horizontal="left" vertical="center"/>
    </xf>
    <xf numFmtId="2" fontId="80" fillId="29" borderId="0" xfId="18" applyNumberFormat="1" applyFont="1" applyFill="1" applyBorder="1" applyAlignment="1" applyProtection="1">
      <alignment horizontal="center" vertical="center"/>
      <protection locked="0"/>
    </xf>
    <xf numFmtId="1" fontId="80" fillId="29" borderId="0" xfId="18" applyNumberFormat="1" applyFont="1" applyFill="1" applyBorder="1" applyAlignment="1" applyProtection="1">
      <alignment horizontal="center" vertical="center"/>
      <protection locked="0"/>
    </xf>
    <xf numFmtId="0" fontId="2" fillId="29" borderId="90" xfId="0" applyFont="1" applyFill="1" applyBorder="1"/>
    <xf numFmtId="0" fontId="2" fillId="29" borderId="91" xfId="0" applyFont="1" applyFill="1" applyBorder="1"/>
    <xf numFmtId="2" fontId="80" fillId="32" borderId="23" xfId="18" applyNumberFormat="1" applyFont="1" applyFill="1" applyBorder="1" applyAlignment="1" applyProtection="1">
      <alignment horizontal="center" vertical="center"/>
      <protection locked="0"/>
    </xf>
    <xf numFmtId="1" fontId="80" fillId="32" borderId="32" xfId="18" applyNumberFormat="1" applyFont="1" applyFill="1" applyBorder="1" applyAlignment="1" applyProtection="1">
      <alignment horizontal="center" vertical="center"/>
      <protection locked="0"/>
    </xf>
    <xf numFmtId="2" fontId="80" fillId="33" borderId="23" xfId="18" applyNumberFormat="1" applyFont="1" applyFill="1" applyBorder="1" applyAlignment="1" applyProtection="1">
      <alignment horizontal="center" vertical="center"/>
      <protection locked="0"/>
    </xf>
    <xf numFmtId="1" fontId="80" fillId="33" borderId="32" xfId="18" applyNumberFormat="1" applyFont="1" applyFill="1" applyBorder="1" applyAlignment="1" applyProtection="1">
      <alignment horizontal="center" vertical="center"/>
      <protection locked="0"/>
    </xf>
    <xf numFmtId="2" fontId="80" fillId="0" borderId="34" xfId="18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/>
    <xf numFmtId="0" fontId="0" fillId="29" borderId="20" xfId="0" applyFill="1" applyBorder="1"/>
    <xf numFmtId="0" fontId="0" fillId="29" borderId="18" xfId="0" applyFill="1" applyBorder="1"/>
    <xf numFmtId="0" fontId="0" fillId="29" borderId="18" xfId="0" applyFill="1" applyBorder="1" applyAlignment="1">
      <alignment horizontal="center"/>
    </xf>
    <xf numFmtId="0" fontId="0" fillId="29" borderId="19" xfId="0" applyFill="1" applyBorder="1"/>
    <xf numFmtId="2" fontId="80" fillId="29" borderId="55" xfId="18" applyNumberFormat="1" applyFont="1" applyFill="1" applyBorder="1" applyAlignment="1" applyProtection="1">
      <alignment horizontal="center" vertical="center"/>
      <protection locked="0"/>
    </xf>
    <xf numFmtId="1" fontId="80" fillId="29" borderId="56" xfId="18" applyNumberFormat="1" applyFont="1" applyFill="1" applyBorder="1" applyAlignment="1" applyProtection="1">
      <alignment horizontal="center" vertical="center"/>
      <protection locked="0"/>
    </xf>
    <xf numFmtId="0" fontId="0" fillId="0" borderId="88" xfId="0" applyBorder="1"/>
    <xf numFmtId="0" fontId="2" fillId="0" borderId="61" xfId="0" applyFont="1" applyBorder="1"/>
    <xf numFmtId="0" fontId="0" fillId="0" borderId="62" xfId="0" applyBorder="1"/>
    <xf numFmtId="0" fontId="0" fillId="0" borderId="92" xfId="0" applyBorder="1"/>
    <xf numFmtId="0" fontId="0" fillId="0" borderId="93" xfId="0" applyBorder="1"/>
    <xf numFmtId="0" fontId="0" fillId="0" borderId="94" xfId="0" applyBorder="1"/>
    <xf numFmtId="0" fontId="2" fillId="0" borderId="93" xfId="0" applyFont="1" applyBorder="1"/>
    <xf numFmtId="0" fontId="2" fillId="0" borderId="94" xfId="0" applyFont="1" applyBorder="1"/>
    <xf numFmtId="0" fontId="2" fillId="0" borderId="63" xfId="0" applyFont="1" applyBorder="1"/>
    <xf numFmtId="0" fontId="0" fillId="0" borderId="64" xfId="0" applyBorder="1"/>
    <xf numFmtId="0" fontId="2" fillId="0" borderId="95" xfId="0" applyFont="1" applyBorder="1"/>
    <xf numFmtId="0" fontId="2" fillId="6" borderId="0" xfId="0" applyFont="1" applyFill="1"/>
    <xf numFmtId="2" fontId="0" fillId="6" borderId="0" xfId="0" applyNumberFormat="1" applyFill="1"/>
    <xf numFmtId="178" fontId="0" fillId="0" borderId="0" xfId="0" applyNumberFormat="1"/>
    <xf numFmtId="2" fontId="0" fillId="0" borderId="0" xfId="0" applyNumberFormat="1"/>
    <xf numFmtId="0" fontId="82" fillId="29" borderId="0" xfId="0" applyFont="1" applyFill="1" applyBorder="1" applyAlignment="1">
      <alignment horizontal="center" vertical="center"/>
    </xf>
    <xf numFmtId="0" fontId="83" fillId="29" borderId="0" xfId="0" applyFont="1" applyFill="1" applyBorder="1" applyAlignment="1">
      <alignment vertical="center" wrapText="1"/>
    </xf>
    <xf numFmtId="0" fontId="83" fillId="32" borderId="0" xfId="0" applyFont="1" applyFill="1" applyBorder="1" applyAlignment="1">
      <alignment vertical="center" wrapText="1"/>
    </xf>
    <xf numFmtId="0" fontId="2" fillId="29" borderId="0" xfId="0" applyFont="1" applyFill="1" applyBorder="1" applyAlignment="1">
      <alignment horizontal="center" wrapText="1"/>
    </xf>
    <xf numFmtId="0" fontId="2" fillId="29" borderId="85" xfId="0" applyFont="1" applyFill="1" applyBorder="1"/>
    <xf numFmtId="0" fontId="0" fillId="29" borderId="77" xfId="0" applyFill="1" applyBorder="1" applyAlignment="1"/>
    <xf numFmtId="0" fontId="0" fillId="29" borderId="78" xfId="0" applyFill="1" applyBorder="1" applyAlignment="1"/>
    <xf numFmtId="0" fontId="2" fillId="29" borderId="76" xfId="0" applyFont="1" applyFill="1" applyBorder="1" applyAlignment="1"/>
    <xf numFmtId="0" fontId="2" fillId="33" borderId="85" xfId="0" applyFont="1" applyFill="1" applyBorder="1"/>
    <xf numFmtId="0" fontId="0" fillId="33" borderId="86" xfId="0" applyFill="1" applyBorder="1"/>
    <xf numFmtId="2" fontId="0" fillId="33" borderId="87" xfId="0" applyNumberFormat="1" applyFill="1" applyBorder="1"/>
    <xf numFmtId="0" fontId="0" fillId="33" borderId="96" xfId="0" applyFill="1" applyBorder="1" applyAlignment="1">
      <alignment wrapText="1"/>
    </xf>
    <xf numFmtId="0" fontId="0" fillId="33" borderId="2" xfId="0" applyFill="1" applyBorder="1" applyAlignment="1">
      <alignment wrapText="1"/>
    </xf>
    <xf numFmtId="0" fontId="0" fillId="33" borderId="97" xfId="0" applyFill="1" applyBorder="1" applyAlignment="1">
      <alignment wrapText="1"/>
    </xf>
    <xf numFmtId="0" fontId="0" fillId="33" borderId="80" xfId="0" applyFill="1" applyBorder="1"/>
    <xf numFmtId="0" fontId="0" fillId="33" borderId="79" xfId="0" applyFill="1" applyBorder="1"/>
    <xf numFmtId="0" fontId="0" fillId="33" borderId="81" xfId="0" applyFill="1" applyBorder="1"/>
    <xf numFmtId="0" fontId="0" fillId="33" borderId="67" xfId="0" applyFill="1" applyBorder="1"/>
    <xf numFmtId="0" fontId="0" fillId="33" borderId="1" xfId="0" applyFill="1" applyBorder="1"/>
    <xf numFmtId="0" fontId="0" fillId="33" borderId="68" xfId="0" applyFill="1" applyBorder="1"/>
    <xf numFmtId="0" fontId="2" fillId="29" borderId="89" xfId="0" applyFont="1" applyFill="1" applyBorder="1"/>
    <xf numFmtId="0" fontId="2" fillId="34" borderId="85" xfId="0" applyFont="1" applyFill="1" applyBorder="1"/>
    <xf numFmtId="0" fontId="0" fillId="34" borderId="86" xfId="0" applyFill="1" applyBorder="1"/>
    <xf numFmtId="2" fontId="0" fillId="34" borderId="87" xfId="0" applyNumberFormat="1" applyFill="1" applyBorder="1"/>
    <xf numFmtId="0" fontId="0" fillId="34" borderId="96" xfId="0" applyFill="1" applyBorder="1" applyAlignment="1">
      <alignment wrapText="1"/>
    </xf>
    <xf numFmtId="0" fontId="0" fillId="34" borderId="2" xfId="0" applyFill="1" applyBorder="1" applyAlignment="1">
      <alignment wrapText="1"/>
    </xf>
    <xf numFmtId="0" fontId="0" fillId="34" borderId="97" xfId="0" applyFill="1" applyBorder="1" applyAlignment="1">
      <alignment wrapText="1"/>
    </xf>
    <xf numFmtId="0" fontId="0" fillId="34" borderId="80" xfId="0" applyFill="1" applyBorder="1"/>
    <xf numFmtId="0" fontId="0" fillId="34" borderId="79" xfId="0" applyFill="1" applyBorder="1"/>
    <xf numFmtId="0" fontId="0" fillId="34" borderId="81" xfId="0" applyFill="1" applyBorder="1"/>
    <xf numFmtId="0" fontId="0" fillId="34" borderId="67" xfId="0" applyFill="1" applyBorder="1"/>
    <xf numFmtId="0" fontId="0" fillId="34" borderId="1" xfId="0" applyFill="1" applyBorder="1"/>
    <xf numFmtId="0" fontId="0" fillId="34" borderId="68" xfId="0" applyFill="1" applyBorder="1"/>
    <xf numFmtId="167" fontId="69" fillId="29" borderId="0" xfId="18" applyNumberFormat="1" applyFont="1" applyFill="1" applyBorder="1" applyAlignment="1" applyProtection="1">
      <alignment horizontal="center" vertical="center"/>
    </xf>
    <xf numFmtId="0" fontId="67" fillId="2" borderId="44" xfId="67" applyFont="1" applyFill="1" applyBorder="1" applyAlignment="1" applyProtection="1">
      <alignment horizontal="left" vertical="center"/>
      <protection hidden="1"/>
    </xf>
    <xf numFmtId="0" fontId="67" fillId="2" borderId="21" xfId="67" applyFont="1" applyFill="1" applyBorder="1" applyAlignment="1" applyProtection="1">
      <alignment horizontal="left" vertical="center"/>
      <protection hidden="1"/>
    </xf>
    <xf numFmtId="0" fontId="67" fillId="2" borderId="22" xfId="67" applyFont="1" applyFill="1" applyBorder="1" applyAlignment="1" applyProtection="1">
      <alignment horizontal="left" vertical="center"/>
      <protection hidden="1"/>
    </xf>
    <xf numFmtId="49" fontId="68" fillId="29" borderId="49" xfId="67" applyNumberFormat="1" applyFont="1" applyFill="1" applyBorder="1" applyAlignment="1" applyProtection="1">
      <alignment horizontal="center" vertical="center"/>
      <protection locked="0" hidden="1"/>
    </xf>
    <xf numFmtId="49" fontId="68" fillId="29" borderId="47" xfId="67" applyNumberFormat="1" applyFont="1" applyFill="1" applyBorder="1" applyAlignment="1" applyProtection="1">
      <alignment horizontal="center" vertical="center"/>
      <protection locked="0" hidden="1"/>
    </xf>
    <xf numFmtId="49" fontId="68" fillId="29" borderId="50" xfId="67" applyNumberFormat="1" applyFont="1" applyFill="1" applyBorder="1" applyAlignment="1" applyProtection="1">
      <alignment horizontal="center" vertical="center"/>
      <protection locked="0" hidden="1"/>
    </xf>
    <xf numFmtId="49" fontId="68" fillId="29" borderId="38" xfId="67" applyNumberFormat="1" applyFont="1" applyFill="1" applyBorder="1" applyAlignment="1" applyProtection="1">
      <alignment horizontal="center" vertical="center"/>
      <protection locked="0" hidden="1"/>
    </xf>
    <xf numFmtId="49" fontId="68" fillId="29" borderId="39" xfId="67" applyNumberFormat="1" applyFont="1" applyFill="1" applyBorder="1" applyAlignment="1" applyProtection="1">
      <alignment horizontal="center" vertical="center"/>
      <protection locked="0" hidden="1"/>
    </xf>
    <xf numFmtId="49" fontId="68" fillId="29" borderId="40" xfId="67" applyNumberFormat="1" applyFont="1" applyFill="1" applyBorder="1" applyAlignment="1" applyProtection="1">
      <alignment horizontal="center" vertical="center"/>
      <protection locked="0" hidden="1"/>
    </xf>
    <xf numFmtId="0" fontId="69" fillId="33" borderId="44" xfId="18" applyFont="1" applyFill="1" applyBorder="1" applyAlignment="1" applyProtection="1">
      <alignment horizontal="left" vertical="center"/>
    </xf>
    <xf numFmtId="0" fontId="69" fillId="33" borderId="21" xfId="18" applyFont="1" applyFill="1" applyBorder="1" applyAlignment="1" applyProtection="1">
      <alignment horizontal="left" vertical="center"/>
    </xf>
    <xf numFmtId="0" fontId="69" fillId="33" borderId="22" xfId="18" applyFont="1" applyFill="1" applyBorder="1" applyAlignment="1" applyProtection="1">
      <alignment horizontal="left" vertical="center"/>
    </xf>
    <xf numFmtId="0" fontId="83" fillId="29" borderId="25" xfId="0" applyFont="1" applyFill="1" applyBorder="1" applyAlignment="1">
      <alignment horizontal="center" vertical="center" wrapText="1"/>
    </xf>
    <xf numFmtId="0" fontId="83" fillId="29" borderId="28" xfId="0" applyFont="1" applyFill="1" applyBorder="1" applyAlignment="1">
      <alignment horizontal="center" vertical="center" wrapText="1"/>
    </xf>
    <xf numFmtId="0" fontId="67" fillId="2" borderId="36" xfId="67" applyFont="1" applyFill="1" applyBorder="1" applyAlignment="1" applyProtection="1">
      <alignment horizontal="left" vertical="center"/>
      <protection hidden="1"/>
    </xf>
    <xf numFmtId="0" fontId="67" fillId="2" borderId="47" xfId="67" applyFont="1" applyFill="1" applyBorder="1" applyAlignment="1" applyProtection="1">
      <alignment horizontal="left" vertical="center"/>
      <protection hidden="1"/>
    </xf>
    <xf numFmtId="0" fontId="67" fillId="2" borderId="48" xfId="67" applyFont="1" applyFill="1" applyBorder="1" applyAlignment="1" applyProtection="1">
      <alignment horizontal="left" vertical="center"/>
      <protection hidden="1"/>
    </xf>
    <xf numFmtId="0" fontId="66" fillId="30" borderId="4" xfId="67" applyFont="1" applyFill="1" applyBorder="1" applyAlignment="1" applyProtection="1">
      <alignment horizontal="center" vertical="center"/>
      <protection hidden="1"/>
    </xf>
    <xf numFmtId="0" fontId="66" fillId="30" borderId="0" xfId="67" applyFont="1" applyFill="1" applyBorder="1" applyAlignment="1" applyProtection="1">
      <alignment horizontal="center" vertical="center"/>
      <protection hidden="1"/>
    </xf>
    <xf numFmtId="0" fontId="66" fillId="30" borderId="7" xfId="67" applyFont="1" applyFill="1" applyBorder="1" applyAlignment="1" applyProtection="1">
      <alignment horizontal="center" vertical="center"/>
      <protection hidden="1"/>
    </xf>
    <xf numFmtId="0" fontId="0" fillId="0" borderId="47" xfId="0" applyBorder="1"/>
    <xf numFmtId="0" fontId="0" fillId="0" borderId="48" xfId="0" applyBorder="1"/>
    <xf numFmtId="0" fontId="0" fillId="0" borderId="21" xfId="0" applyBorder="1"/>
    <xf numFmtId="0" fontId="0" fillId="0" borderId="22" xfId="0" applyBorder="1"/>
    <xf numFmtId="0" fontId="67" fillId="2" borderId="37" xfId="67" applyFont="1" applyFill="1" applyBorder="1" applyAlignment="1" applyProtection="1">
      <alignment horizontal="left" vertical="center"/>
      <protection hidden="1"/>
    </xf>
    <xf numFmtId="0" fontId="0" fillId="0" borderId="39" xfId="0" applyBorder="1"/>
    <xf numFmtId="0" fontId="0" fillId="0" borderId="46" xfId="0" applyBorder="1"/>
    <xf numFmtId="0" fontId="67" fillId="2" borderId="39" xfId="67" applyFont="1" applyFill="1" applyBorder="1" applyAlignment="1" applyProtection="1">
      <alignment horizontal="left" vertical="center"/>
      <protection hidden="1"/>
    </xf>
    <xf numFmtId="0" fontId="67" fillId="2" borderId="46" xfId="67" applyFont="1" applyFill="1" applyBorder="1" applyAlignment="1" applyProtection="1">
      <alignment horizontal="left" vertical="center"/>
      <protection hidden="1"/>
    </xf>
    <xf numFmtId="49" fontId="68" fillId="29" borderId="51" xfId="67" applyNumberFormat="1" applyFont="1" applyFill="1" applyBorder="1" applyAlignment="1" applyProtection="1">
      <alignment horizontal="center" vertical="center"/>
      <protection locked="0" hidden="1"/>
    </xf>
    <xf numFmtId="49" fontId="68" fillId="29" borderId="21" xfId="67" applyNumberFormat="1" applyFont="1" applyFill="1" applyBorder="1" applyAlignment="1" applyProtection="1">
      <alignment horizontal="center" vertical="center"/>
      <protection locked="0" hidden="1"/>
    </xf>
    <xf numFmtId="49" fontId="68" fillId="29" borderId="45" xfId="67" applyNumberFormat="1" applyFont="1" applyFill="1" applyBorder="1" applyAlignment="1" applyProtection="1">
      <alignment horizontal="center" vertical="center"/>
      <protection locked="0" hidden="1"/>
    </xf>
    <xf numFmtId="0" fontId="66" fillId="30" borderId="20" xfId="67" applyFont="1" applyFill="1" applyBorder="1" applyAlignment="1" applyProtection="1">
      <alignment horizontal="center" vertical="center"/>
      <protection hidden="1"/>
    </xf>
    <xf numFmtId="0" fontId="66" fillId="30" borderId="18" xfId="67" applyFont="1" applyFill="1" applyBorder="1" applyAlignment="1" applyProtection="1">
      <alignment horizontal="center" vertical="center"/>
      <protection hidden="1"/>
    </xf>
    <xf numFmtId="0" fontId="66" fillId="30" borderId="19" xfId="67" applyFont="1" applyFill="1" applyBorder="1" applyAlignment="1" applyProtection="1">
      <alignment horizontal="center" vertical="center"/>
      <protection hidden="1"/>
    </xf>
    <xf numFmtId="0" fontId="69" fillId="29" borderId="44" xfId="18" applyFont="1" applyFill="1" applyBorder="1" applyAlignment="1" applyProtection="1">
      <alignment horizontal="left" vertical="center"/>
    </xf>
    <xf numFmtId="0" fontId="69" fillId="29" borderId="21" xfId="18" applyFont="1" applyFill="1" applyBorder="1" applyAlignment="1" applyProtection="1">
      <alignment horizontal="left" vertical="center"/>
    </xf>
    <xf numFmtId="0" fontId="69" fillId="29" borderId="22" xfId="18" applyFont="1" applyFill="1" applyBorder="1" applyAlignment="1" applyProtection="1">
      <alignment horizontal="left" vertical="center"/>
    </xf>
    <xf numFmtId="0" fontId="42" fillId="29" borderId="0" xfId="18" applyFont="1" applyFill="1" applyBorder="1" applyAlignment="1" applyProtection="1">
      <alignment horizontal="left"/>
    </xf>
    <xf numFmtId="0" fontId="69" fillId="29" borderId="37" xfId="18" applyFont="1" applyFill="1" applyBorder="1" applyAlignment="1" applyProtection="1">
      <alignment horizontal="left" vertical="center"/>
    </xf>
    <xf numFmtId="0" fontId="69" fillId="29" borderId="39" xfId="18" applyFont="1" applyFill="1" applyBorder="1" applyAlignment="1" applyProtection="1">
      <alignment horizontal="left" vertical="center"/>
    </xf>
    <xf numFmtId="0" fontId="69" fillId="29" borderId="46" xfId="18" applyFont="1" applyFill="1" applyBorder="1" applyAlignment="1" applyProtection="1">
      <alignment horizontal="left" vertical="center"/>
    </xf>
    <xf numFmtId="0" fontId="69" fillId="29" borderId="36" xfId="18" applyFont="1" applyFill="1" applyBorder="1" applyAlignment="1" applyProtection="1">
      <alignment horizontal="left" vertical="center"/>
    </xf>
    <xf numFmtId="0" fontId="69" fillId="29" borderId="47" xfId="18" applyFont="1" applyFill="1" applyBorder="1" applyAlignment="1" applyProtection="1">
      <alignment horizontal="left" vertical="center"/>
    </xf>
    <xf numFmtId="0" fontId="69" fillId="29" borderId="48" xfId="18" applyFont="1" applyFill="1" applyBorder="1" applyAlignment="1" applyProtection="1">
      <alignment horizontal="left" vertical="center"/>
    </xf>
    <xf numFmtId="0" fontId="83" fillId="29" borderId="26" xfId="0" applyFont="1" applyFill="1" applyBorder="1" applyAlignment="1">
      <alignment horizontal="center" vertical="center" wrapText="1"/>
    </xf>
    <xf numFmtId="0" fontId="83" fillId="29" borderId="29" xfId="0" applyFont="1" applyFill="1" applyBorder="1" applyAlignment="1">
      <alignment horizontal="center" vertical="center" wrapText="1"/>
    </xf>
    <xf numFmtId="0" fontId="69" fillId="32" borderId="44" xfId="18" applyFont="1" applyFill="1" applyBorder="1" applyAlignment="1" applyProtection="1">
      <alignment horizontal="left" vertical="center"/>
    </xf>
    <xf numFmtId="0" fontId="69" fillId="32" borderId="21" xfId="18" applyFont="1" applyFill="1" applyBorder="1" applyAlignment="1" applyProtection="1">
      <alignment horizontal="left" vertical="center"/>
    </xf>
    <xf numFmtId="0" fontId="69" fillId="32" borderId="22" xfId="18" applyFont="1" applyFill="1" applyBorder="1" applyAlignment="1" applyProtection="1">
      <alignment horizontal="left" vertical="center"/>
    </xf>
    <xf numFmtId="0" fontId="0" fillId="29" borderId="0" xfId="0" applyFill="1" applyBorder="1" applyAlignment="1">
      <alignment horizontal="center"/>
    </xf>
    <xf numFmtId="0" fontId="82" fillId="29" borderId="0" xfId="0" applyFont="1" applyFill="1" applyBorder="1" applyAlignment="1">
      <alignment horizontal="center" vertical="center"/>
    </xf>
    <xf numFmtId="0" fontId="82" fillId="29" borderId="37" xfId="0" applyFont="1" applyFill="1" applyBorder="1" applyAlignment="1">
      <alignment horizontal="center" vertical="center"/>
    </xf>
    <xf numFmtId="0" fontId="82" fillId="29" borderId="39" xfId="0" applyFont="1" applyFill="1" applyBorder="1" applyAlignment="1">
      <alignment horizontal="center" vertical="center"/>
    </xf>
    <xf numFmtId="0" fontId="82" fillId="29" borderId="46" xfId="0" applyFont="1" applyFill="1" applyBorder="1" applyAlignment="1">
      <alignment horizontal="center" vertical="center"/>
    </xf>
    <xf numFmtId="0" fontId="82" fillId="29" borderId="67" xfId="0" applyFont="1" applyFill="1" applyBorder="1" applyAlignment="1">
      <alignment horizontal="center" vertical="center"/>
    </xf>
    <xf numFmtId="0" fontId="82" fillId="29" borderId="1" xfId="0" applyFont="1" applyFill="1" applyBorder="1" applyAlignment="1">
      <alignment horizontal="center" vertical="center"/>
    </xf>
    <xf numFmtId="0" fontId="82" fillId="29" borderId="65" xfId="0" applyFont="1" applyFill="1" applyBorder="1" applyAlignment="1">
      <alignment horizontal="center" vertical="center"/>
    </xf>
    <xf numFmtId="0" fontId="82" fillId="29" borderId="66" xfId="0" applyFont="1" applyFill="1" applyBorder="1" applyAlignment="1">
      <alignment horizontal="center" vertical="center"/>
    </xf>
    <xf numFmtId="167" fontId="69" fillId="29" borderId="67" xfId="18" applyNumberFormat="1" applyFont="1" applyFill="1" applyBorder="1" applyAlignment="1" applyProtection="1">
      <alignment horizontal="center" vertical="center"/>
    </xf>
    <xf numFmtId="167" fontId="69" fillId="29" borderId="1" xfId="18" applyNumberFormat="1" applyFont="1" applyFill="1" applyBorder="1" applyAlignment="1" applyProtection="1">
      <alignment horizontal="center" vertical="center"/>
    </xf>
    <xf numFmtId="167" fontId="69" fillId="29" borderId="69" xfId="18" applyNumberFormat="1" applyFont="1" applyFill="1" applyBorder="1" applyAlignment="1" applyProtection="1">
      <alignment horizontal="center" vertical="center"/>
    </xf>
    <xf numFmtId="167" fontId="69" fillId="29" borderId="70" xfId="18" applyNumberFormat="1" applyFont="1" applyFill="1" applyBorder="1" applyAlignment="1" applyProtection="1">
      <alignment horizontal="center" vertical="center"/>
    </xf>
    <xf numFmtId="0" fontId="83" fillId="29" borderId="54" xfId="0" applyFont="1" applyFill="1" applyBorder="1" applyAlignment="1">
      <alignment horizontal="center" vertical="center" wrapText="1"/>
    </xf>
    <xf numFmtId="0" fontId="83" fillId="29" borderId="55" xfId="0" applyFont="1" applyFill="1" applyBorder="1" applyAlignment="1">
      <alignment horizontal="center" vertical="center" wrapText="1"/>
    </xf>
    <xf numFmtId="0" fontId="83" fillId="29" borderId="74" xfId="0" applyFont="1" applyFill="1" applyBorder="1" applyAlignment="1">
      <alignment horizontal="center" vertical="center" wrapText="1"/>
    </xf>
    <xf numFmtId="0" fontId="83" fillId="29" borderId="57" xfId="0" applyFont="1" applyFill="1" applyBorder="1" applyAlignment="1">
      <alignment horizontal="center" vertical="center" wrapText="1"/>
    </xf>
    <xf numFmtId="0" fontId="83" fillId="29" borderId="58" xfId="0" applyFont="1" applyFill="1" applyBorder="1" applyAlignment="1">
      <alignment horizontal="center" vertical="center" wrapText="1"/>
    </xf>
    <xf numFmtId="0" fontId="83" fillId="29" borderId="75" xfId="0" applyFont="1" applyFill="1" applyBorder="1" applyAlignment="1">
      <alignment horizontal="center" vertical="center" wrapText="1"/>
    </xf>
    <xf numFmtId="0" fontId="83" fillId="29" borderId="72" xfId="0" applyFont="1" applyFill="1" applyBorder="1" applyAlignment="1">
      <alignment horizontal="center" vertical="center" wrapText="1"/>
    </xf>
    <xf numFmtId="0" fontId="83" fillId="29" borderId="56" xfId="0" applyFont="1" applyFill="1" applyBorder="1" applyAlignment="1">
      <alignment horizontal="center" vertical="center" wrapText="1"/>
    </xf>
    <xf numFmtId="0" fontId="83" fillId="29" borderId="73" xfId="0" applyFont="1" applyFill="1" applyBorder="1" applyAlignment="1">
      <alignment horizontal="center" vertical="center" wrapText="1"/>
    </xf>
    <xf numFmtId="0" fontId="83" fillId="29" borderId="59" xfId="0" applyFont="1" applyFill="1" applyBorder="1" applyAlignment="1">
      <alignment horizontal="center" vertical="center" wrapText="1"/>
    </xf>
    <xf numFmtId="0" fontId="83" fillId="29" borderId="24" xfId="0" applyFont="1" applyFill="1" applyBorder="1" applyAlignment="1">
      <alignment horizontal="center" vertical="center" wrapText="1"/>
    </xf>
    <xf numFmtId="0" fontId="83" fillId="29" borderId="27" xfId="0" applyFont="1" applyFill="1" applyBorder="1" applyAlignment="1">
      <alignment horizontal="center" vertical="center" wrapText="1"/>
    </xf>
    <xf numFmtId="0" fontId="69" fillId="29" borderId="54" xfId="18" applyFont="1" applyFill="1" applyBorder="1" applyAlignment="1" applyProtection="1">
      <alignment horizontal="left" vertical="center"/>
    </xf>
    <xf numFmtId="0" fontId="69" fillId="29" borderId="55" xfId="18" applyFont="1" applyFill="1" applyBorder="1" applyAlignment="1" applyProtection="1">
      <alignment horizontal="left" vertical="center"/>
    </xf>
    <xf numFmtId="0" fontId="82" fillId="29" borderId="36" xfId="0" applyFont="1" applyFill="1" applyBorder="1" applyAlignment="1">
      <alignment horizontal="center" vertical="center"/>
    </xf>
    <xf numFmtId="0" fontId="82" fillId="29" borderId="47" xfId="0" applyFont="1" applyFill="1" applyBorder="1" applyAlignment="1">
      <alignment horizontal="center" vertical="center"/>
    </xf>
    <xf numFmtId="0" fontId="82" fillId="29" borderId="48" xfId="0" applyFont="1" applyFill="1" applyBorder="1" applyAlignment="1">
      <alignment horizontal="center" vertical="center"/>
    </xf>
    <xf numFmtId="0" fontId="82" fillId="29" borderId="44" xfId="0" applyFont="1" applyFill="1" applyBorder="1" applyAlignment="1">
      <alignment horizontal="center" vertical="center"/>
    </xf>
    <xf numFmtId="0" fontId="82" fillId="29" borderId="21" xfId="0" applyFont="1" applyFill="1" applyBorder="1" applyAlignment="1">
      <alignment horizontal="center" vertical="center"/>
    </xf>
    <xf numFmtId="0" fontId="82" fillId="29" borderId="22" xfId="0" applyFont="1" applyFill="1" applyBorder="1" applyAlignment="1">
      <alignment horizontal="center" vertical="center"/>
    </xf>
    <xf numFmtId="2" fontId="69" fillId="29" borderId="38" xfId="18" applyNumberFormat="1" applyFont="1" applyFill="1" applyBorder="1" applyAlignment="1" applyProtection="1">
      <alignment horizontal="center"/>
    </xf>
    <xf numFmtId="2" fontId="69" fillId="29" borderId="40" xfId="18" applyNumberFormat="1" applyFont="1" applyFill="1" applyBorder="1" applyAlignment="1" applyProtection="1">
      <alignment horizontal="center"/>
    </xf>
    <xf numFmtId="2" fontId="69" fillId="29" borderId="49" xfId="18" applyNumberFormat="1" applyFont="1" applyFill="1" applyBorder="1" applyAlignment="1" applyProtection="1">
      <alignment horizontal="center"/>
    </xf>
    <xf numFmtId="2" fontId="69" fillId="29" borderId="50" xfId="18" applyNumberFormat="1" applyFont="1" applyFill="1" applyBorder="1" applyAlignment="1" applyProtection="1">
      <alignment horizontal="center"/>
    </xf>
    <xf numFmtId="2" fontId="69" fillId="29" borderId="51" xfId="18" applyNumberFormat="1" applyFont="1" applyFill="1" applyBorder="1" applyAlignment="1" applyProtection="1">
      <alignment horizontal="center"/>
    </xf>
    <xf numFmtId="2" fontId="69" fillId="29" borderId="45" xfId="18" applyNumberFormat="1" applyFont="1" applyFill="1" applyBorder="1" applyAlignment="1" applyProtection="1">
      <alignment horizontal="center"/>
    </xf>
    <xf numFmtId="0" fontId="83" fillId="29" borderId="61" xfId="0" applyFont="1" applyFill="1" applyBorder="1" applyAlignment="1">
      <alignment horizontal="center" vertical="center" wrapText="1"/>
    </xf>
    <xf numFmtId="0" fontId="83" fillId="29" borderId="62" xfId="0" applyFont="1" applyFill="1" applyBorder="1" applyAlignment="1">
      <alignment horizontal="center" vertical="center" wrapText="1"/>
    </xf>
    <xf numFmtId="0" fontId="83" fillId="29" borderId="63" xfId="0" applyFont="1" applyFill="1" applyBorder="1" applyAlignment="1">
      <alignment horizontal="center" vertical="center" wrapText="1"/>
    </xf>
    <xf numFmtId="0" fontId="83" fillId="29" borderId="64" xfId="0" applyFont="1" applyFill="1" applyBorder="1" applyAlignment="1">
      <alignment horizontal="center" vertical="center" wrapText="1"/>
    </xf>
    <xf numFmtId="0" fontId="40" fillId="29" borderId="0" xfId="18" applyFont="1" applyFill="1" applyBorder="1" applyAlignment="1" applyProtection="1">
      <alignment horizontal="center"/>
    </xf>
    <xf numFmtId="0" fontId="41" fillId="0" borderId="0" xfId="18" applyFont="1" applyBorder="1" applyProtection="1"/>
    <xf numFmtId="0" fontId="41" fillId="0" borderId="0" xfId="18" applyFont="1" applyBorder="1" applyAlignment="1" applyProtection="1">
      <alignment horizontal="center"/>
    </xf>
    <xf numFmtId="0" fontId="57" fillId="0" borderId="0" xfId="18" applyFont="1" applyBorder="1" applyProtection="1"/>
    <xf numFmtId="0" fontId="40" fillId="0" borderId="0" xfId="18" applyFont="1" applyFill="1" applyBorder="1" applyAlignment="1" applyProtection="1">
      <alignment horizontal="center"/>
    </xf>
    <xf numFmtId="0" fontId="41" fillId="0" borderId="0" xfId="18" applyFont="1" applyBorder="1" applyAlignment="1" applyProtection="1">
      <alignment horizontal="left"/>
    </xf>
    <xf numFmtId="0" fontId="36" fillId="0" borderId="0" xfId="18" applyFont="1" applyBorder="1" applyAlignment="1" applyProtection="1">
      <alignment horizontal="center"/>
    </xf>
    <xf numFmtId="0" fontId="37" fillId="0" borderId="0" xfId="20" applyFont="1" applyBorder="1" applyAlignment="1" applyProtection="1">
      <alignment horizontal="center"/>
    </xf>
    <xf numFmtId="0" fontId="64" fillId="0" borderId="0" xfId="18" applyFont="1" applyBorder="1" applyAlignment="1" applyProtection="1">
      <alignment horizontal="center"/>
    </xf>
    <xf numFmtId="0" fontId="41" fillId="0" borderId="0" xfId="0" applyFont="1" applyBorder="1" applyProtection="1"/>
    <xf numFmtId="0" fontId="74" fillId="0" borderId="0" xfId="0" applyFont="1" applyBorder="1" applyProtection="1"/>
    <xf numFmtId="0" fontId="36" fillId="0" borderId="0" xfId="0" applyFont="1" applyBorder="1" applyProtection="1"/>
    <xf numFmtId="0" fontId="41" fillId="29" borderId="0" xfId="18" applyFont="1" applyFill="1" applyBorder="1" applyProtection="1"/>
    <xf numFmtId="0" fontId="73" fillId="0" borderId="0" xfId="18" applyFont="1" applyBorder="1" applyProtection="1"/>
    <xf numFmtId="0" fontId="74" fillId="0" borderId="0" xfId="0" applyFont="1" applyBorder="1" applyAlignment="1" applyProtection="1">
      <alignment horizontal="right"/>
    </xf>
    <xf numFmtId="0" fontId="36" fillId="0" borderId="0" xfId="18" applyFont="1" applyBorder="1" applyProtection="1"/>
    <xf numFmtId="0" fontId="38" fillId="0" borderId="0" xfId="18" applyFont="1" applyBorder="1" applyAlignment="1" applyProtection="1">
      <alignment horizontal="center"/>
    </xf>
    <xf numFmtId="0" fontId="36" fillId="0" borderId="0" xfId="18" applyFont="1" applyBorder="1" applyAlignment="1" applyProtection="1">
      <alignment horizontal="left"/>
    </xf>
    <xf numFmtId="0" fontId="37" fillId="0" borderId="0" xfId="18" applyFont="1" applyBorder="1" applyAlignment="1" applyProtection="1">
      <alignment horizontal="center"/>
    </xf>
    <xf numFmtId="0" fontId="46" fillId="0" borderId="0" xfId="18" applyFont="1" applyBorder="1" applyAlignment="1" applyProtection="1">
      <alignment horizontal="center"/>
    </xf>
    <xf numFmtId="0" fontId="60" fillId="0" borderId="0" xfId="0" applyFont="1" applyBorder="1" applyProtection="1"/>
    <xf numFmtId="14" fontId="46" fillId="0" borderId="0" xfId="18" applyNumberFormat="1" applyFont="1" applyBorder="1" applyAlignment="1" applyProtection="1">
      <alignment horizontal="center"/>
    </xf>
    <xf numFmtId="0" fontId="42" fillId="0" borderId="0" xfId="0" applyFont="1" applyBorder="1" applyAlignment="1" applyProtection="1">
      <alignment horizontal="center" vertical="center" wrapText="1"/>
      <protection locked="0"/>
    </xf>
    <xf numFmtId="1" fontId="42" fillId="0" borderId="0" xfId="0" applyNumberFormat="1" applyFont="1" applyBorder="1" applyAlignment="1" applyProtection="1">
      <alignment horizontal="center" vertical="center" wrapText="1"/>
      <protection locked="0"/>
    </xf>
    <xf numFmtId="0" fontId="41" fillId="0" borderId="0" xfId="0" applyFont="1" applyBorder="1" applyAlignment="1" applyProtection="1">
      <alignment horizontal="left"/>
    </xf>
    <xf numFmtId="0" fontId="79" fillId="0" borderId="0" xfId="0" applyFont="1" applyBorder="1" applyAlignment="1" applyProtection="1">
      <alignment horizontal="right"/>
    </xf>
    <xf numFmtId="0" fontId="2" fillId="29" borderId="98" xfId="0" applyFont="1" applyFill="1" applyBorder="1" applyAlignment="1">
      <alignment horizontal="center" wrapText="1"/>
    </xf>
    <xf numFmtId="0" fontId="2" fillId="29" borderId="99" xfId="0" applyFont="1" applyFill="1" applyBorder="1"/>
  </cellXfs>
  <cellStyles count="70">
    <cellStyle name="_Книга1 (8)" xfId="1"/>
    <cellStyle name="20% - Accent1" xfId="26"/>
    <cellStyle name="20% - Accent2" xfId="27"/>
    <cellStyle name="20% - Accent3" xfId="28"/>
    <cellStyle name="20% - Accent4" xfId="29"/>
    <cellStyle name="20% - Accent5" xfId="30"/>
    <cellStyle name="20% - Accent6" xfId="31"/>
    <cellStyle name="40% - Accent1" xfId="32"/>
    <cellStyle name="40% - Accent2" xfId="33"/>
    <cellStyle name="40% - Accent3" xfId="34"/>
    <cellStyle name="40% - Accent4" xfId="35"/>
    <cellStyle name="40% - Accent5" xfId="36"/>
    <cellStyle name="40% - Accent6" xfId="37"/>
    <cellStyle name="60% - Accent1" xfId="38"/>
    <cellStyle name="60% - Accent2" xfId="39"/>
    <cellStyle name="60% - Accent3" xfId="40"/>
    <cellStyle name="60% - Accent4" xfId="41"/>
    <cellStyle name="60% - Accent5" xfId="42"/>
    <cellStyle name="60% - Accent6" xfId="43"/>
    <cellStyle name="Accent1" xfId="44"/>
    <cellStyle name="Accent2" xfId="45"/>
    <cellStyle name="Accent3" xfId="46"/>
    <cellStyle name="Accent4" xfId="47"/>
    <cellStyle name="Accent5" xfId="48"/>
    <cellStyle name="Accent6" xfId="49"/>
    <cellStyle name="Alilciue [0]_Apr   (2)" xfId="2"/>
    <cellStyle name="Alilciue_Apr   (2)" xfId="3"/>
    <cellStyle name="Bad" xfId="50"/>
    <cellStyle name="Calculation" xfId="51"/>
    <cellStyle name="Check Cell" xfId="52"/>
    <cellStyle name="Comma [0]" xfId="4"/>
    <cellStyle name="Comma_Completion Drawing" xfId="5"/>
    <cellStyle name="Craieiaie" xfId="6"/>
    <cellStyle name="Currency [0]" xfId="7"/>
    <cellStyle name="Currency_Completion Drawing" xfId="8"/>
    <cellStyle name="Donnece" xfId="9"/>
    <cellStyle name="Explanatory Text" xfId="53"/>
    <cellStyle name="Good" xfId="54"/>
    <cellStyle name="Heading 1" xfId="55"/>
    <cellStyle name="Heading 2" xfId="56"/>
    <cellStyle name="Heading 3" xfId="57"/>
    <cellStyle name="Heading 4" xfId="58"/>
    <cellStyle name="Iau?iue_acirecer" xfId="10"/>
    <cellStyle name="Input" xfId="59"/>
    <cellStyle name="Linked Cell" xfId="60"/>
    <cellStyle name="Neutral" xfId="61"/>
    <cellStyle name="Normal_ASUS" xfId="11"/>
    <cellStyle name="normбlnм_laroux" xfId="12"/>
    <cellStyle name="Note" xfId="62"/>
    <cellStyle name="Nraec?iue" xfId="13"/>
    <cellStyle name="Nun??c [0]_Apr   (2)" xfId="14"/>
    <cellStyle name="Nun??c_Apr   (2)" xfId="15"/>
    <cellStyle name="Ociriniaue [0]_Deri.06.98 " xfId="16"/>
    <cellStyle name="Ociriniaue_Deri.06.98 " xfId="17"/>
    <cellStyle name="Output" xfId="63"/>
    <cellStyle name="Title" xfId="64"/>
    <cellStyle name="Total" xfId="65"/>
    <cellStyle name="Warning Text" xfId="66"/>
    <cellStyle name="Обычный" xfId="0" builtinId="0"/>
    <cellStyle name="Обычный 10" xfId="69"/>
    <cellStyle name="Обычный 2" xfId="25"/>
    <cellStyle name="Обычный 2 2" xfId="68"/>
    <cellStyle name="Обычный 3" xfId="67"/>
    <cellStyle name="Обычный_Well kill sheet" xfId="18"/>
    <cellStyle name="Обычный_Well kill sheet_825" xfId="19"/>
    <cellStyle name="Обычный_СКО-мамонт" xfId="20"/>
    <cellStyle name="С разделителем" xfId="21"/>
    <cellStyle name="Стиль 1" xfId="22"/>
    <cellStyle name="Тысячи [0]_Apr   (2)" xfId="23"/>
    <cellStyle name="Тысячи_Apr   (2)" xfId="24"/>
  </cellStyles>
  <dxfs count="43">
    <dxf>
      <font>
        <b/>
        <i val="0"/>
        <color theme="1" tint="4.9989318521683403E-2"/>
      </font>
      <fill>
        <patternFill>
          <bgColor rgb="FFFF000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border>
        <top style="thin">
          <color auto="1"/>
        </top>
        <vertical/>
        <horizontal/>
      </border>
    </dxf>
    <dxf>
      <fill>
        <patternFill patternType="none">
          <bgColor auto="1"/>
        </patternFill>
      </fill>
      <border>
        <right/>
        <bottom/>
        <vertical/>
        <horizontal/>
      </border>
    </dxf>
    <dxf>
      <fill>
        <patternFill>
          <bgColor theme="1" tint="0.34998626667073579"/>
        </patternFill>
      </fill>
      <border>
        <left style="thin">
          <color auto="1"/>
        </left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right/>
        <vertical/>
        <horizontal/>
      </border>
    </dxf>
    <dxf>
      <fill>
        <patternFill patternType="none">
          <bgColor auto="1"/>
        </patternFill>
      </fill>
      <border>
        <right/>
        <top style="thin">
          <color auto="1"/>
        </top>
        <vertical/>
        <horizontal/>
      </border>
    </dxf>
    <dxf>
      <fill>
        <patternFill>
          <bgColor theme="1" tint="0.34998626667073579"/>
        </patternFill>
      </fill>
      <border>
        <left style="thin">
          <color auto="1"/>
        </left>
        <vertical/>
        <horizontal/>
      </border>
    </dxf>
    <dxf>
      <fill>
        <patternFill>
          <bgColor theme="1" tint="0.34998626667073579"/>
        </patternFill>
      </fill>
      <border>
        <left style="thin">
          <color auto="1"/>
        </left>
        <top/>
        <vertical/>
        <horizontal/>
      </border>
    </dxf>
    <dxf>
      <fill>
        <patternFill patternType="none">
          <bgColor auto="1"/>
        </patternFill>
      </fill>
      <border>
        <left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/>
        <vertical/>
        <horizontal/>
      </border>
    </dxf>
    <dxf>
      <fill>
        <patternFill>
          <bgColor theme="1" tint="0.34998626667073579"/>
        </patternFill>
      </fill>
      <border>
        <bottom style="thin">
          <color auto="1"/>
        </bottom>
        <vertical/>
        <horizontal/>
      </border>
    </dxf>
    <dxf>
      <fill>
        <patternFill>
          <bgColor theme="1" tint="0.34998626667073579"/>
        </patternFill>
      </fill>
      <border>
        <right style="thin">
          <color auto="1"/>
        </right>
        <top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ndense val="0"/>
        <extend val="0"/>
        <color indexed="1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</dxf>
    <dxf>
      <font>
        <b val="0"/>
        <i val="0"/>
        <condense val="0"/>
        <extend val="0"/>
        <color indexed="1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</dxf>
    <dxf>
      <font>
        <b val="0"/>
        <i val="0"/>
        <condense val="0"/>
        <extend val="0"/>
        <color indexed="1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</dxfs>
  <tableStyles count="1" defaultTableStyle="TableStyleMedium9" defaultPivotStyle="PivotStyleLight16">
    <tableStyle name="Стиль таблицы 1" pivot="0" count="0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CaCl2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'Расчет глушение'!$AW$4:$AW$33</c:f>
              <c:numCache>
                <c:formatCode>General</c:formatCode>
                <c:ptCount val="30"/>
                <c:pt idx="0">
                  <c:v>14.9</c:v>
                </c:pt>
                <c:pt idx="1">
                  <c:v>29.5</c:v>
                </c:pt>
                <c:pt idx="2">
                  <c:v>44.2</c:v>
                </c:pt>
                <c:pt idx="3">
                  <c:v>58</c:v>
                </c:pt>
                <c:pt idx="4">
                  <c:v>67.3</c:v>
                </c:pt>
                <c:pt idx="5">
                  <c:v>84.4</c:v>
                </c:pt>
                <c:pt idx="6">
                  <c:v>97.6</c:v>
                </c:pt>
                <c:pt idx="7">
                  <c:v>104.5</c:v>
                </c:pt>
                <c:pt idx="8">
                  <c:v>117.4</c:v>
                </c:pt>
                <c:pt idx="9">
                  <c:v>126.8</c:v>
                </c:pt>
                <c:pt idx="10">
                  <c:v>144.5</c:v>
                </c:pt>
                <c:pt idx="11">
                  <c:v>160.5</c:v>
                </c:pt>
                <c:pt idx="12">
                  <c:v>175</c:v>
                </c:pt>
                <c:pt idx="13">
                  <c:v>195.3</c:v>
                </c:pt>
                <c:pt idx="14">
                  <c:v>204.1</c:v>
                </c:pt>
                <c:pt idx="15">
                  <c:v>218.8</c:v>
                </c:pt>
                <c:pt idx="16">
                  <c:v>233.4</c:v>
                </c:pt>
                <c:pt idx="17">
                  <c:v>248</c:v>
                </c:pt>
                <c:pt idx="18">
                  <c:v>264.10000000000002</c:v>
                </c:pt>
                <c:pt idx="19">
                  <c:v>277.2</c:v>
                </c:pt>
                <c:pt idx="20">
                  <c:v>291.8</c:v>
                </c:pt>
                <c:pt idx="21">
                  <c:v>306.39999999999998</c:v>
                </c:pt>
                <c:pt idx="22">
                  <c:v>321.10000000000002</c:v>
                </c:pt>
                <c:pt idx="23">
                  <c:v>332.9</c:v>
                </c:pt>
                <c:pt idx="24">
                  <c:v>351</c:v>
                </c:pt>
                <c:pt idx="25">
                  <c:v>366.4</c:v>
                </c:pt>
                <c:pt idx="26">
                  <c:v>382</c:v>
                </c:pt>
                <c:pt idx="27">
                  <c:v>398</c:v>
                </c:pt>
                <c:pt idx="28">
                  <c:v>407.8</c:v>
                </c:pt>
                <c:pt idx="29">
                  <c:v>430.7</c:v>
                </c:pt>
              </c:numCache>
            </c:numRef>
          </c:xVal>
          <c:yVal>
            <c:numRef>
              <c:f>'Расчет глушение'!$AV$4:$AV$33</c:f>
              <c:numCache>
                <c:formatCode>General</c:formatCode>
                <c:ptCount val="30"/>
                <c:pt idx="0">
                  <c:v>1.01</c:v>
                </c:pt>
                <c:pt idx="1">
                  <c:v>1.02</c:v>
                </c:pt>
                <c:pt idx="2">
                  <c:v>1.03</c:v>
                </c:pt>
                <c:pt idx="3">
                  <c:v>1.04</c:v>
                </c:pt>
                <c:pt idx="4">
                  <c:v>1.05</c:v>
                </c:pt>
                <c:pt idx="5">
                  <c:v>1.06</c:v>
                </c:pt>
                <c:pt idx="6">
                  <c:v>1.07</c:v>
                </c:pt>
                <c:pt idx="7">
                  <c:v>1.08</c:v>
                </c:pt>
                <c:pt idx="8">
                  <c:v>1.0900000000000001</c:v>
                </c:pt>
                <c:pt idx="9">
                  <c:v>1.1000000000000001</c:v>
                </c:pt>
                <c:pt idx="10">
                  <c:v>1.1100000000000001</c:v>
                </c:pt>
                <c:pt idx="11">
                  <c:v>1.1200000000000001</c:v>
                </c:pt>
                <c:pt idx="12">
                  <c:v>1.1299999999999999</c:v>
                </c:pt>
                <c:pt idx="13">
                  <c:v>1.1399999999999999</c:v>
                </c:pt>
                <c:pt idx="14">
                  <c:v>1.1499999999999999</c:v>
                </c:pt>
                <c:pt idx="15">
                  <c:v>1.1599999999999999</c:v>
                </c:pt>
                <c:pt idx="16">
                  <c:v>1.17</c:v>
                </c:pt>
                <c:pt idx="17">
                  <c:v>1.18</c:v>
                </c:pt>
                <c:pt idx="18">
                  <c:v>1.19</c:v>
                </c:pt>
                <c:pt idx="19">
                  <c:v>1.2</c:v>
                </c:pt>
                <c:pt idx="20">
                  <c:v>1.21</c:v>
                </c:pt>
                <c:pt idx="21">
                  <c:v>1.22</c:v>
                </c:pt>
                <c:pt idx="22">
                  <c:v>1.23</c:v>
                </c:pt>
                <c:pt idx="23">
                  <c:v>1.24</c:v>
                </c:pt>
                <c:pt idx="24">
                  <c:v>1.25</c:v>
                </c:pt>
                <c:pt idx="25">
                  <c:v>1.26</c:v>
                </c:pt>
                <c:pt idx="26">
                  <c:v>1.27</c:v>
                </c:pt>
                <c:pt idx="27">
                  <c:v>1.28</c:v>
                </c:pt>
                <c:pt idx="28">
                  <c:v>1.29</c:v>
                </c:pt>
                <c:pt idx="29">
                  <c:v>1.3</c:v>
                </c:pt>
              </c:numCache>
            </c:numRef>
          </c:yVal>
          <c:smooth val="0"/>
        </c:ser>
        <c:ser>
          <c:idx val="1"/>
          <c:order val="1"/>
          <c:tx>
            <c:v>CaЖГ</c:v>
          </c:tx>
          <c:marker>
            <c:symbol val="none"/>
          </c:marker>
          <c:xVal>
            <c:numRef>
              <c:f>'Расчет глушение'!$BA$4:$BA$33</c:f>
              <c:numCache>
                <c:formatCode>General</c:formatCode>
                <c:ptCount val="30"/>
                <c:pt idx="0">
                  <c:v>466</c:v>
                </c:pt>
                <c:pt idx="1">
                  <c:v>482</c:v>
                </c:pt>
                <c:pt idx="2">
                  <c:v>498</c:v>
                </c:pt>
                <c:pt idx="3">
                  <c:v>513</c:v>
                </c:pt>
                <c:pt idx="4">
                  <c:v>529</c:v>
                </c:pt>
                <c:pt idx="5">
                  <c:v>545</c:v>
                </c:pt>
                <c:pt idx="6">
                  <c:v>560</c:v>
                </c:pt>
                <c:pt idx="7">
                  <c:v>576</c:v>
                </c:pt>
                <c:pt idx="8">
                  <c:v>592</c:v>
                </c:pt>
                <c:pt idx="9">
                  <c:v>607</c:v>
                </c:pt>
                <c:pt idx="10">
                  <c:v>623</c:v>
                </c:pt>
                <c:pt idx="11">
                  <c:v>639</c:v>
                </c:pt>
                <c:pt idx="12">
                  <c:v>654</c:v>
                </c:pt>
                <c:pt idx="13">
                  <c:v>670</c:v>
                </c:pt>
                <c:pt idx="14">
                  <c:v>686</c:v>
                </c:pt>
                <c:pt idx="15">
                  <c:v>702</c:v>
                </c:pt>
                <c:pt idx="16">
                  <c:v>717</c:v>
                </c:pt>
                <c:pt idx="17">
                  <c:v>733</c:v>
                </c:pt>
                <c:pt idx="18">
                  <c:v>749</c:v>
                </c:pt>
                <c:pt idx="19">
                  <c:v>764</c:v>
                </c:pt>
                <c:pt idx="20">
                  <c:v>780</c:v>
                </c:pt>
                <c:pt idx="21">
                  <c:v>796</c:v>
                </c:pt>
                <c:pt idx="22">
                  <c:v>811</c:v>
                </c:pt>
                <c:pt idx="23">
                  <c:v>827</c:v>
                </c:pt>
                <c:pt idx="24">
                  <c:v>845</c:v>
                </c:pt>
                <c:pt idx="25">
                  <c:v>862</c:v>
                </c:pt>
                <c:pt idx="26">
                  <c:v>880</c:v>
                </c:pt>
                <c:pt idx="27">
                  <c:v>898</c:v>
                </c:pt>
                <c:pt idx="28">
                  <c:v>915</c:v>
                </c:pt>
                <c:pt idx="29">
                  <c:v>933</c:v>
                </c:pt>
              </c:numCache>
            </c:numRef>
          </c:xVal>
          <c:yVal>
            <c:numRef>
              <c:f>'Расчет глушение'!$AZ$4:$AZ$33</c:f>
              <c:numCache>
                <c:formatCode>General</c:formatCode>
                <c:ptCount val="30"/>
                <c:pt idx="0">
                  <c:v>1.31</c:v>
                </c:pt>
                <c:pt idx="1">
                  <c:v>1.32</c:v>
                </c:pt>
                <c:pt idx="2">
                  <c:v>1.33</c:v>
                </c:pt>
                <c:pt idx="3">
                  <c:v>1.34</c:v>
                </c:pt>
                <c:pt idx="4">
                  <c:v>1.35</c:v>
                </c:pt>
                <c:pt idx="5">
                  <c:v>1.36</c:v>
                </c:pt>
                <c:pt idx="6">
                  <c:v>1.37</c:v>
                </c:pt>
                <c:pt idx="7">
                  <c:v>1.38</c:v>
                </c:pt>
                <c:pt idx="8">
                  <c:v>1.39</c:v>
                </c:pt>
                <c:pt idx="9">
                  <c:v>1.4</c:v>
                </c:pt>
                <c:pt idx="10">
                  <c:v>1.41</c:v>
                </c:pt>
                <c:pt idx="11">
                  <c:v>1.42</c:v>
                </c:pt>
                <c:pt idx="12">
                  <c:v>1.43</c:v>
                </c:pt>
                <c:pt idx="13">
                  <c:v>1.44</c:v>
                </c:pt>
                <c:pt idx="14">
                  <c:v>1.45</c:v>
                </c:pt>
                <c:pt idx="15">
                  <c:v>1.46</c:v>
                </c:pt>
                <c:pt idx="16">
                  <c:v>1.47</c:v>
                </c:pt>
                <c:pt idx="17">
                  <c:v>1.48</c:v>
                </c:pt>
                <c:pt idx="18">
                  <c:v>1.49</c:v>
                </c:pt>
                <c:pt idx="19">
                  <c:v>1.5</c:v>
                </c:pt>
                <c:pt idx="20">
                  <c:v>1.51</c:v>
                </c:pt>
                <c:pt idx="21">
                  <c:v>1.52</c:v>
                </c:pt>
                <c:pt idx="22">
                  <c:v>1.53</c:v>
                </c:pt>
                <c:pt idx="23">
                  <c:v>1.54</c:v>
                </c:pt>
                <c:pt idx="24">
                  <c:v>1.55</c:v>
                </c:pt>
                <c:pt idx="25">
                  <c:v>1.56</c:v>
                </c:pt>
                <c:pt idx="26">
                  <c:v>1.57</c:v>
                </c:pt>
                <c:pt idx="27">
                  <c:v>1.58</c:v>
                </c:pt>
                <c:pt idx="28">
                  <c:v>1.59</c:v>
                </c:pt>
                <c:pt idx="29">
                  <c:v>1.6</c:v>
                </c:pt>
              </c:numCache>
            </c:numRef>
          </c:yVal>
          <c:smooth val="0"/>
        </c:ser>
        <c:ser>
          <c:idx val="2"/>
          <c:order val="2"/>
          <c:tx>
            <c:v>KCl</c:v>
          </c:tx>
          <c:marker>
            <c:symbol val="none"/>
          </c:marker>
          <c:xVal>
            <c:numRef>
              <c:f>'Расчет глушение'!$BF$4:$BF$16</c:f>
              <c:numCache>
                <c:formatCode>General</c:formatCode>
                <c:ptCount val="13"/>
                <c:pt idx="0">
                  <c:v>11.4</c:v>
                </c:pt>
                <c:pt idx="1">
                  <c:v>20</c:v>
                </c:pt>
                <c:pt idx="2">
                  <c:v>39</c:v>
                </c:pt>
                <c:pt idx="3">
                  <c:v>62.8</c:v>
                </c:pt>
                <c:pt idx="4">
                  <c:v>82.8</c:v>
                </c:pt>
                <c:pt idx="5">
                  <c:v>105.6</c:v>
                </c:pt>
                <c:pt idx="6">
                  <c:v>128</c:v>
                </c:pt>
                <c:pt idx="7">
                  <c:v>154</c:v>
                </c:pt>
                <c:pt idx="8">
                  <c:v>176.9</c:v>
                </c:pt>
                <c:pt idx="9">
                  <c:v>202.6</c:v>
                </c:pt>
                <c:pt idx="10">
                  <c:v>225.4</c:v>
                </c:pt>
                <c:pt idx="11">
                  <c:v>251</c:v>
                </c:pt>
                <c:pt idx="12">
                  <c:v>270</c:v>
                </c:pt>
              </c:numCache>
            </c:numRef>
          </c:xVal>
          <c:yVal>
            <c:numRef>
              <c:f>'Расчет глушение'!$BE$4:$BE$16</c:f>
              <c:numCache>
                <c:formatCode>General</c:formatCode>
                <c:ptCount val="13"/>
                <c:pt idx="0">
                  <c:v>1.006</c:v>
                </c:pt>
                <c:pt idx="1">
                  <c:v>1.0129999999999999</c:v>
                </c:pt>
                <c:pt idx="2">
                  <c:v>1.026</c:v>
                </c:pt>
                <c:pt idx="3">
                  <c:v>1.0389999999999999</c:v>
                </c:pt>
                <c:pt idx="4">
                  <c:v>1.052</c:v>
                </c:pt>
                <c:pt idx="5">
                  <c:v>1.0649999999999999</c:v>
                </c:pt>
                <c:pt idx="6">
                  <c:v>1.079</c:v>
                </c:pt>
                <c:pt idx="7">
                  <c:v>1.093</c:v>
                </c:pt>
                <c:pt idx="8">
                  <c:v>1.1060000000000001</c:v>
                </c:pt>
                <c:pt idx="9">
                  <c:v>1.1200000000000001</c:v>
                </c:pt>
                <c:pt idx="10">
                  <c:v>1.135</c:v>
                </c:pt>
                <c:pt idx="11">
                  <c:v>1.149</c:v>
                </c:pt>
                <c:pt idx="12">
                  <c:v>1.1599999999999999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81408"/>
        <c:axId val="276470400"/>
      </c:scatterChart>
      <c:valAx>
        <c:axId val="2644814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расход соли, кг/м3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76470400"/>
        <c:crosses val="autoZero"/>
        <c:crossBetween val="midCat"/>
        <c:majorUnit val="250"/>
      </c:valAx>
      <c:valAx>
        <c:axId val="276470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плотность,</a:t>
                </a:r>
                <a:r>
                  <a:rPr lang="ru-RU" baseline="0"/>
                  <a:t> г/см3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4481408"/>
        <c:crosses val="autoZero"/>
        <c:crossBetween val="midCat"/>
        <c:majorUnit val="0.60000000000000009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'Расчет глушение'!$AS$2</c:f>
              <c:strCache>
                <c:ptCount val="1"/>
                <c:pt idx="0">
                  <c:v>CaCl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circle"/>
            <c:size val="5"/>
          </c:marker>
          <c:xVal>
            <c:numRef>
              <c:f>'Расчет глушение'!$AM$5:$AM$17</c:f>
              <c:numCache>
                <c:formatCode>General</c:formatCode>
                <c:ptCount val="13"/>
                <c:pt idx="0">
                  <c:v>14.9</c:v>
                </c:pt>
                <c:pt idx="1">
                  <c:v>29.5</c:v>
                </c:pt>
                <c:pt idx="2">
                  <c:v>44.2</c:v>
                </c:pt>
                <c:pt idx="3">
                  <c:v>58</c:v>
                </c:pt>
                <c:pt idx="4">
                  <c:v>67.3</c:v>
                </c:pt>
                <c:pt idx="5">
                  <c:v>84.4</c:v>
                </c:pt>
                <c:pt idx="6">
                  <c:v>97.6</c:v>
                </c:pt>
                <c:pt idx="7">
                  <c:v>104.5</c:v>
                </c:pt>
                <c:pt idx="8">
                  <c:v>117.4</c:v>
                </c:pt>
                <c:pt idx="9">
                  <c:v>126.8</c:v>
                </c:pt>
                <c:pt idx="10">
                  <c:v>144.5</c:v>
                </c:pt>
                <c:pt idx="11">
                  <c:v>160.5</c:v>
                </c:pt>
                <c:pt idx="12">
                  <c:v>175</c:v>
                </c:pt>
              </c:numCache>
            </c:numRef>
          </c:xVal>
          <c:yVal>
            <c:numRef>
              <c:f>'Расчет глушение'!$AL$5:$AL$33</c:f>
              <c:numCache>
                <c:formatCode>General</c:formatCode>
                <c:ptCount val="29"/>
                <c:pt idx="0">
                  <c:v>1.01</c:v>
                </c:pt>
                <c:pt idx="1">
                  <c:v>1.02</c:v>
                </c:pt>
                <c:pt idx="2">
                  <c:v>1.03</c:v>
                </c:pt>
                <c:pt idx="3">
                  <c:v>1.04</c:v>
                </c:pt>
                <c:pt idx="4">
                  <c:v>1.05</c:v>
                </c:pt>
                <c:pt idx="5">
                  <c:v>1.06</c:v>
                </c:pt>
                <c:pt idx="6">
                  <c:v>1.07</c:v>
                </c:pt>
                <c:pt idx="7">
                  <c:v>1.08</c:v>
                </c:pt>
                <c:pt idx="8">
                  <c:v>1.0900000000000001</c:v>
                </c:pt>
                <c:pt idx="9">
                  <c:v>1.1000000000000001</c:v>
                </c:pt>
                <c:pt idx="10">
                  <c:v>1.1100000000000001</c:v>
                </c:pt>
                <c:pt idx="11">
                  <c:v>1.1200000000000001</c:v>
                </c:pt>
                <c:pt idx="12">
                  <c:v>1.1299999999999999</c:v>
                </c:pt>
                <c:pt idx="13">
                  <c:v>1.1399999999999999</c:v>
                </c:pt>
                <c:pt idx="14">
                  <c:v>1.1499999999999999</c:v>
                </c:pt>
                <c:pt idx="15">
                  <c:v>1.1599999999999999</c:v>
                </c:pt>
                <c:pt idx="16">
                  <c:v>1.17</c:v>
                </c:pt>
                <c:pt idx="17">
                  <c:v>1.18</c:v>
                </c:pt>
                <c:pt idx="18">
                  <c:v>1.19</c:v>
                </c:pt>
                <c:pt idx="19">
                  <c:v>1.2</c:v>
                </c:pt>
                <c:pt idx="20">
                  <c:v>1.21</c:v>
                </c:pt>
                <c:pt idx="21">
                  <c:v>1.22</c:v>
                </c:pt>
                <c:pt idx="22">
                  <c:v>1.23</c:v>
                </c:pt>
                <c:pt idx="23">
                  <c:v>1.24</c:v>
                </c:pt>
                <c:pt idx="24">
                  <c:v>1.25</c:v>
                </c:pt>
                <c:pt idx="25">
                  <c:v>1.26</c:v>
                </c:pt>
                <c:pt idx="26">
                  <c:v>1.27</c:v>
                </c:pt>
                <c:pt idx="27">
                  <c:v>1.28</c:v>
                </c:pt>
                <c:pt idx="28">
                  <c:v>1.29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538304"/>
        <c:axId val="257540480"/>
      </c:scatterChart>
      <c:valAx>
        <c:axId val="2575383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расход соли, кг/м3</a:t>
                </a:r>
              </a:p>
            </c:rich>
          </c:tx>
          <c:layout>
            <c:manualLayout>
              <c:xMode val="edge"/>
              <c:yMode val="edge"/>
              <c:x val="0.40970657598281784"/>
              <c:y val="0.9079717813945753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ru-RU"/>
          </a:p>
        </c:txPr>
        <c:crossAx val="257540480"/>
        <c:crosses val="autoZero"/>
        <c:crossBetween val="midCat"/>
        <c:majorUnit val="100"/>
      </c:valAx>
      <c:valAx>
        <c:axId val="257540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 плотность ЖГ, кг/м3</a:t>
                </a:r>
              </a:p>
            </c:rich>
          </c:tx>
          <c:layout>
            <c:manualLayout>
              <c:xMode val="edge"/>
              <c:yMode val="edge"/>
              <c:x val="1.6713693120801836E-2"/>
              <c:y val="0.2599866015609290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ru-RU"/>
          </a:p>
        </c:txPr>
        <c:crossAx val="2575383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="0" i="1">
          <a:latin typeface="Roboto" pitchFamily="2" charset="0"/>
          <a:ea typeface="Roboto" pitchFamily="2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'Расчет глушение'!$AS$2</c:f>
              <c:strCache>
                <c:ptCount val="1"/>
                <c:pt idx="0">
                  <c:v>CaCl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circle"/>
            <c:size val="3"/>
          </c:marker>
          <c:xVal>
            <c:numRef>
              <c:f>'Расчет глушение'!$AL$5:$AL$33</c:f>
              <c:numCache>
                <c:formatCode>General</c:formatCode>
                <c:ptCount val="29"/>
                <c:pt idx="0">
                  <c:v>1.01</c:v>
                </c:pt>
                <c:pt idx="1">
                  <c:v>1.02</c:v>
                </c:pt>
                <c:pt idx="2">
                  <c:v>1.03</c:v>
                </c:pt>
                <c:pt idx="3">
                  <c:v>1.04</c:v>
                </c:pt>
                <c:pt idx="4">
                  <c:v>1.05</c:v>
                </c:pt>
                <c:pt idx="5">
                  <c:v>1.06</c:v>
                </c:pt>
                <c:pt idx="6">
                  <c:v>1.07</c:v>
                </c:pt>
                <c:pt idx="7">
                  <c:v>1.08</c:v>
                </c:pt>
                <c:pt idx="8">
                  <c:v>1.0900000000000001</c:v>
                </c:pt>
                <c:pt idx="9">
                  <c:v>1.1000000000000001</c:v>
                </c:pt>
                <c:pt idx="10">
                  <c:v>1.1100000000000001</c:v>
                </c:pt>
                <c:pt idx="11">
                  <c:v>1.1200000000000001</c:v>
                </c:pt>
                <c:pt idx="12">
                  <c:v>1.1299999999999999</c:v>
                </c:pt>
                <c:pt idx="13">
                  <c:v>1.1399999999999999</c:v>
                </c:pt>
                <c:pt idx="14">
                  <c:v>1.1499999999999999</c:v>
                </c:pt>
                <c:pt idx="15">
                  <c:v>1.1599999999999999</c:v>
                </c:pt>
                <c:pt idx="16">
                  <c:v>1.17</c:v>
                </c:pt>
                <c:pt idx="17">
                  <c:v>1.18</c:v>
                </c:pt>
                <c:pt idx="18">
                  <c:v>1.19</c:v>
                </c:pt>
                <c:pt idx="19">
                  <c:v>1.2</c:v>
                </c:pt>
                <c:pt idx="20">
                  <c:v>1.21</c:v>
                </c:pt>
                <c:pt idx="21">
                  <c:v>1.22</c:v>
                </c:pt>
                <c:pt idx="22">
                  <c:v>1.23</c:v>
                </c:pt>
                <c:pt idx="23">
                  <c:v>1.24</c:v>
                </c:pt>
                <c:pt idx="24">
                  <c:v>1.25</c:v>
                </c:pt>
                <c:pt idx="25">
                  <c:v>1.26</c:v>
                </c:pt>
                <c:pt idx="26">
                  <c:v>1.27</c:v>
                </c:pt>
                <c:pt idx="27">
                  <c:v>1.28</c:v>
                </c:pt>
                <c:pt idx="28">
                  <c:v>1.29</c:v>
                </c:pt>
              </c:numCache>
            </c:numRef>
          </c:xVal>
          <c:yVal>
            <c:numRef>
              <c:f>'Расчет глушение'!$AM$5:$AM$33</c:f>
              <c:numCache>
                <c:formatCode>General</c:formatCode>
                <c:ptCount val="29"/>
                <c:pt idx="0">
                  <c:v>14.9</c:v>
                </c:pt>
                <c:pt idx="1">
                  <c:v>29.5</c:v>
                </c:pt>
                <c:pt idx="2">
                  <c:v>44.2</c:v>
                </c:pt>
                <c:pt idx="3">
                  <c:v>58</c:v>
                </c:pt>
                <c:pt idx="4">
                  <c:v>67.3</c:v>
                </c:pt>
                <c:pt idx="5">
                  <c:v>84.4</c:v>
                </c:pt>
                <c:pt idx="6">
                  <c:v>97.6</c:v>
                </c:pt>
                <c:pt idx="7">
                  <c:v>104.5</c:v>
                </c:pt>
                <c:pt idx="8">
                  <c:v>117.4</c:v>
                </c:pt>
                <c:pt idx="9">
                  <c:v>126.8</c:v>
                </c:pt>
                <c:pt idx="10">
                  <c:v>144.5</c:v>
                </c:pt>
                <c:pt idx="11">
                  <c:v>160.5</c:v>
                </c:pt>
                <c:pt idx="12">
                  <c:v>175</c:v>
                </c:pt>
                <c:pt idx="13">
                  <c:v>195.3</c:v>
                </c:pt>
                <c:pt idx="14">
                  <c:v>204.1</c:v>
                </c:pt>
                <c:pt idx="15">
                  <c:v>218.8</c:v>
                </c:pt>
                <c:pt idx="16">
                  <c:v>233.4</c:v>
                </c:pt>
                <c:pt idx="17">
                  <c:v>248</c:v>
                </c:pt>
                <c:pt idx="18">
                  <c:v>264.10000000000002</c:v>
                </c:pt>
                <c:pt idx="19">
                  <c:v>277.2</c:v>
                </c:pt>
                <c:pt idx="20">
                  <c:v>291.8</c:v>
                </c:pt>
                <c:pt idx="21">
                  <c:v>306.39999999999998</c:v>
                </c:pt>
                <c:pt idx="22">
                  <c:v>321.10000000000002</c:v>
                </c:pt>
                <c:pt idx="23">
                  <c:v>332.9</c:v>
                </c:pt>
                <c:pt idx="24">
                  <c:v>351</c:v>
                </c:pt>
                <c:pt idx="25">
                  <c:v>366.4</c:v>
                </c:pt>
                <c:pt idx="26">
                  <c:v>382</c:v>
                </c:pt>
                <c:pt idx="27">
                  <c:v>398</c:v>
                </c:pt>
                <c:pt idx="28">
                  <c:v>407.8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700608"/>
        <c:axId val="257702528"/>
      </c:scatterChart>
      <c:scatterChart>
        <c:scatterStyle val="lineMarker"/>
        <c:varyColors val="0"/>
        <c:ser>
          <c:idx val="1"/>
          <c:order val="1"/>
          <c:marker>
            <c:symbol val="circle"/>
            <c:size val="3"/>
          </c:marker>
          <c:xVal>
            <c:numRef>
              <c:f>'Расчет глушение'!$AL$5:$AL$33</c:f>
              <c:numCache>
                <c:formatCode>General</c:formatCode>
                <c:ptCount val="29"/>
                <c:pt idx="0">
                  <c:v>1.01</c:v>
                </c:pt>
                <c:pt idx="1">
                  <c:v>1.02</c:v>
                </c:pt>
                <c:pt idx="2">
                  <c:v>1.03</c:v>
                </c:pt>
                <c:pt idx="3">
                  <c:v>1.04</c:v>
                </c:pt>
                <c:pt idx="4">
                  <c:v>1.05</c:v>
                </c:pt>
                <c:pt idx="5">
                  <c:v>1.06</c:v>
                </c:pt>
                <c:pt idx="6">
                  <c:v>1.07</c:v>
                </c:pt>
                <c:pt idx="7">
                  <c:v>1.08</c:v>
                </c:pt>
                <c:pt idx="8">
                  <c:v>1.0900000000000001</c:v>
                </c:pt>
                <c:pt idx="9">
                  <c:v>1.1000000000000001</c:v>
                </c:pt>
                <c:pt idx="10">
                  <c:v>1.1100000000000001</c:v>
                </c:pt>
                <c:pt idx="11">
                  <c:v>1.1200000000000001</c:v>
                </c:pt>
                <c:pt idx="12">
                  <c:v>1.1299999999999999</c:v>
                </c:pt>
                <c:pt idx="13">
                  <c:v>1.1399999999999999</c:v>
                </c:pt>
                <c:pt idx="14">
                  <c:v>1.1499999999999999</c:v>
                </c:pt>
                <c:pt idx="15">
                  <c:v>1.1599999999999999</c:v>
                </c:pt>
                <c:pt idx="16">
                  <c:v>1.17</c:v>
                </c:pt>
                <c:pt idx="17">
                  <c:v>1.18</c:v>
                </c:pt>
                <c:pt idx="18">
                  <c:v>1.19</c:v>
                </c:pt>
                <c:pt idx="19">
                  <c:v>1.2</c:v>
                </c:pt>
                <c:pt idx="20">
                  <c:v>1.21</c:v>
                </c:pt>
                <c:pt idx="21">
                  <c:v>1.22</c:v>
                </c:pt>
                <c:pt idx="22">
                  <c:v>1.23</c:v>
                </c:pt>
                <c:pt idx="23">
                  <c:v>1.24</c:v>
                </c:pt>
                <c:pt idx="24">
                  <c:v>1.25</c:v>
                </c:pt>
                <c:pt idx="25">
                  <c:v>1.26</c:v>
                </c:pt>
                <c:pt idx="26">
                  <c:v>1.27</c:v>
                </c:pt>
                <c:pt idx="27">
                  <c:v>1.28</c:v>
                </c:pt>
                <c:pt idx="28">
                  <c:v>1.29</c:v>
                </c:pt>
              </c:numCache>
            </c:numRef>
          </c:xVal>
          <c:yVal>
            <c:numRef>
              <c:f>'Расчет глушение'!$AN$5:$AN$33</c:f>
              <c:numCache>
                <c:formatCode>General</c:formatCode>
                <c:ptCount val="29"/>
                <c:pt idx="0">
                  <c:v>995.1</c:v>
                </c:pt>
                <c:pt idx="1">
                  <c:v>990.5</c:v>
                </c:pt>
                <c:pt idx="2">
                  <c:v>985.8</c:v>
                </c:pt>
                <c:pt idx="3">
                  <c:v>982</c:v>
                </c:pt>
                <c:pt idx="4">
                  <c:v>982.7</c:v>
                </c:pt>
                <c:pt idx="5">
                  <c:v>975.6</c:v>
                </c:pt>
                <c:pt idx="6">
                  <c:v>972.4</c:v>
                </c:pt>
                <c:pt idx="7">
                  <c:v>975.5</c:v>
                </c:pt>
                <c:pt idx="8">
                  <c:v>972.6</c:v>
                </c:pt>
                <c:pt idx="9">
                  <c:v>973.2</c:v>
                </c:pt>
                <c:pt idx="10">
                  <c:v>965.5</c:v>
                </c:pt>
                <c:pt idx="11">
                  <c:v>959.5</c:v>
                </c:pt>
                <c:pt idx="12">
                  <c:v>955</c:v>
                </c:pt>
                <c:pt idx="13">
                  <c:v>944.7</c:v>
                </c:pt>
                <c:pt idx="14">
                  <c:v>945.9</c:v>
                </c:pt>
                <c:pt idx="15">
                  <c:v>941.2</c:v>
                </c:pt>
                <c:pt idx="16">
                  <c:v>936.6</c:v>
                </c:pt>
                <c:pt idx="17">
                  <c:v>932</c:v>
                </c:pt>
                <c:pt idx="18">
                  <c:v>925.9</c:v>
                </c:pt>
                <c:pt idx="19">
                  <c:v>922.8</c:v>
                </c:pt>
                <c:pt idx="20">
                  <c:v>918.2</c:v>
                </c:pt>
                <c:pt idx="21">
                  <c:v>913.6</c:v>
                </c:pt>
                <c:pt idx="22">
                  <c:v>908.9</c:v>
                </c:pt>
                <c:pt idx="23">
                  <c:v>907.1</c:v>
                </c:pt>
                <c:pt idx="24">
                  <c:v>899</c:v>
                </c:pt>
                <c:pt idx="25">
                  <c:v>893.6</c:v>
                </c:pt>
                <c:pt idx="26">
                  <c:v>888</c:v>
                </c:pt>
                <c:pt idx="27">
                  <c:v>882</c:v>
                </c:pt>
                <c:pt idx="28">
                  <c:v>882.2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747584"/>
        <c:axId val="257745664"/>
      </c:scatterChart>
      <c:valAx>
        <c:axId val="257700608"/>
        <c:scaling>
          <c:orientation val="minMax"/>
          <c:min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400"/>
                </a:pPr>
                <a:r>
                  <a:rPr lang="ru-RU" sz="1000" b="0" i="1" baseline="0">
                    <a:effectLst/>
                  </a:rPr>
                  <a:t> плотность ЖГ, кг/м3</a:t>
                </a:r>
                <a:endParaRPr lang="ru-RU" sz="400">
                  <a:effectLst/>
                </a:endParaRPr>
              </a:p>
            </c:rich>
          </c:tx>
          <c:layout>
            <c:manualLayout>
              <c:xMode val="edge"/>
              <c:yMode val="edge"/>
              <c:x val="0.35691287866356686"/>
              <c:y val="0.8921376451793964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ru-RU"/>
          </a:p>
        </c:txPr>
        <c:crossAx val="257702528"/>
        <c:crosses val="autoZero"/>
        <c:crossBetween val="midCat"/>
      </c:valAx>
      <c:valAx>
        <c:axId val="257702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расход</a:t>
                </a:r>
                <a:r>
                  <a:rPr lang="ru-RU" baseline="0"/>
                  <a:t> соли, кг/м3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6713693120801836E-2"/>
              <c:y val="0.2599866015609290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ru-RU"/>
          </a:p>
        </c:txPr>
        <c:crossAx val="257700608"/>
        <c:crosses val="autoZero"/>
        <c:crossBetween val="midCat"/>
      </c:valAx>
      <c:valAx>
        <c:axId val="25774566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Расход воды, л/м3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ru-RU"/>
          </a:p>
        </c:txPr>
        <c:crossAx val="257747584"/>
        <c:crosses val="max"/>
        <c:crossBetween val="midCat"/>
      </c:valAx>
      <c:valAx>
        <c:axId val="257747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7745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="0" i="1">
          <a:latin typeface="Roboto" pitchFamily="2" charset="0"/>
          <a:ea typeface="Roboto" pitchFamily="2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jpeg"/><Relationship Id="rId1" Type="http://schemas.openxmlformats.org/officeDocument/2006/relationships/image" Target="../media/image1.wmf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0</xdr:row>
      <xdr:rowOff>0</xdr:rowOff>
    </xdr:from>
    <xdr:to>
      <xdr:col>15</xdr:col>
      <xdr:colOff>53551</xdr:colOff>
      <xdr:row>46</xdr:row>
      <xdr:rowOff>17273</xdr:rowOff>
    </xdr:to>
    <xdr:grpSp>
      <xdr:nvGrpSpPr>
        <xdr:cNvPr id="7" name="Группа 6"/>
        <xdr:cNvGrpSpPr/>
      </xdr:nvGrpSpPr>
      <xdr:grpSpPr>
        <a:xfrm>
          <a:off x="5323114" y="0"/>
          <a:ext cx="0" cy="9629359"/>
          <a:chOff x="5353050" y="0"/>
          <a:chExt cx="4768540" cy="7180073"/>
        </a:xfrm>
      </xdr:grpSpPr>
      <xdr:pic>
        <xdr:nvPicPr>
          <xdr:cNvPr id="2" name="Рисунок 1"/>
          <xdr:cNvPicPr/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5353050" y="0"/>
            <a:ext cx="1876271" cy="718007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sp macro="" textlink="">
        <xdr:nvSpPr>
          <xdr:cNvPr id="3" name="Скругленная прямоугольная выноска 2"/>
          <xdr:cNvSpPr/>
        </xdr:nvSpPr>
        <xdr:spPr bwMode="auto">
          <a:xfrm>
            <a:off x="7221692" y="483888"/>
            <a:ext cx="2809875" cy="819150"/>
          </a:xfrm>
          <a:prstGeom prst="wedgeRoundRectCallout">
            <a:avLst>
              <a:gd name="adj1" fmla="val -67952"/>
              <a:gd name="adj2" fmla="val 103067"/>
              <a:gd name="adj3" fmla="val 16667"/>
            </a:avLst>
          </a:prstGeom>
          <a:noFill/>
          <a:ln>
            <a:headEnd/>
            <a:tailEnd/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4" name="Скругленная прямоугольная выноска 3"/>
          <xdr:cNvSpPr/>
        </xdr:nvSpPr>
        <xdr:spPr bwMode="auto">
          <a:xfrm>
            <a:off x="7244633" y="1951245"/>
            <a:ext cx="2809875" cy="561975"/>
          </a:xfrm>
          <a:prstGeom prst="wedgeRoundRectCallout">
            <a:avLst>
              <a:gd name="adj1" fmla="val -82528"/>
              <a:gd name="adj2" fmla="val 128679"/>
              <a:gd name="adj3" fmla="val 16667"/>
            </a:avLst>
          </a:prstGeom>
          <a:noFill/>
          <a:ln>
            <a:headEnd/>
            <a:tailEnd/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5" name="Скругленная прямоугольная выноска 4"/>
          <xdr:cNvSpPr/>
        </xdr:nvSpPr>
        <xdr:spPr bwMode="auto">
          <a:xfrm>
            <a:off x="7311715" y="4159887"/>
            <a:ext cx="2809875" cy="514350"/>
          </a:xfrm>
          <a:prstGeom prst="wedgeRoundRectCallout">
            <a:avLst>
              <a:gd name="adj1" fmla="val -71342"/>
              <a:gd name="adj2" fmla="val 188252"/>
              <a:gd name="adj3" fmla="val 16667"/>
            </a:avLst>
          </a:prstGeom>
          <a:noFill/>
          <a:ln>
            <a:headEnd/>
            <a:tailEnd/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ru-RU" sz="1100"/>
          </a:p>
        </xdr:txBody>
      </xdr:sp>
      <xdr:sp macro="" textlink="">
        <xdr:nvSpPr>
          <xdr:cNvPr id="6" name="Скругленная прямоугольная выноска 5"/>
          <xdr:cNvSpPr/>
        </xdr:nvSpPr>
        <xdr:spPr bwMode="auto">
          <a:xfrm>
            <a:off x="7274951" y="5012769"/>
            <a:ext cx="2809875" cy="447675"/>
          </a:xfrm>
          <a:prstGeom prst="wedgeRoundRectCallout">
            <a:avLst>
              <a:gd name="adj1" fmla="val -71003"/>
              <a:gd name="adj2" fmla="val 97429"/>
              <a:gd name="adj3" fmla="val 16667"/>
            </a:avLst>
          </a:prstGeom>
          <a:noFill/>
          <a:ln>
            <a:headEnd/>
            <a:tailEnd/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endParaRPr lang="ru-RU" sz="1100"/>
          </a:p>
        </xdr:txBody>
      </xdr:sp>
    </xdr:grpSp>
    <xdr:clientData/>
  </xdr:twoCellAnchor>
  <xdr:twoCellAnchor>
    <xdr:from>
      <xdr:col>1</xdr:col>
      <xdr:colOff>76200</xdr:colOff>
      <xdr:row>45</xdr:row>
      <xdr:rowOff>190500</xdr:rowOff>
    </xdr:from>
    <xdr:to>
      <xdr:col>5</xdr:col>
      <xdr:colOff>120362</xdr:colOff>
      <xdr:row>49</xdr:row>
      <xdr:rowOff>95869</xdr:rowOff>
    </xdr:to>
    <xdr:pic>
      <xdr:nvPicPr>
        <xdr:cNvPr id="8" name="Picture 483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04800" y="6962775"/>
          <a:ext cx="2730212" cy="67689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</xdr:colOff>
          <xdr:row>66</xdr:row>
          <xdr:rowOff>7620</xdr:rowOff>
        </xdr:from>
        <xdr:to>
          <xdr:col>24</xdr:col>
          <xdr:colOff>0</xdr:colOff>
          <xdr:row>69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Создать план по глушению в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MS 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</xdr:colOff>
          <xdr:row>71</xdr:row>
          <xdr:rowOff>0</xdr:rowOff>
        </xdr:from>
        <xdr:to>
          <xdr:col>24</xdr:col>
          <xdr:colOff>0</xdr:colOff>
          <xdr:row>74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оздать план приготовления раствора в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MS Word</a:t>
              </a:r>
            </a:p>
          </xdr:txBody>
        </xdr:sp>
        <xdr:clientData fPrintsWithSheet="0"/>
      </xdr:twoCellAnchor>
    </mc:Choice>
    <mc:Fallback/>
  </mc:AlternateContent>
  <xdr:twoCellAnchor>
    <xdr:from>
      <xdr:col>60</xdr:col>
      <xdr:colOff>43543</xdr:colOff>
      <xdr:row>2</xdr:row>
      <xdr:rowOff>495301</xdr:rowOff>
    </xdr:from>
    <xdr:to>
      <xdr:col>67</xdr:col>
      <xdr:colOff>272143</xdr:colOff>
      <xdr:row>16</xdr:row>
      <xdr:rowOff>5444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726623</xdr:colOff>
      <xdr:row>36</xdr:row>
      <xdr:rowOff>38100</xdr:rowOff>
    </xdr:from>
    <xdr:to>
      <xdr:col>21</xdr:col>
      <xdr:colOff>779123</xdr:colOff>
      <xdr:row>49</xdr:row>
      <xdr:rowOff>169500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722168</xdr:colOff>
      <xdr:row>50</xdr:row>
      <xdr:rowOff>65808</xdr:rowOff>
    </xdr:from>
    <xdr:to>
      <xdr:col>21</xdr:col>
      <xdr:colOff>774122</xdr:colOff>
      <xdr:row>64</xdr:row>
      <xdr:rowOff>44778</xdr:rowOff>
    </xdr:to>
    <xdr:graphicFrame macro="">
      <xdr:nvGraphicFramePr>
        <xdr:cNvPr id="13" name="Диаграмма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56</xdr:row>
      <xdr:rowOff>9525</xdr:rowOff>
    </xdr:from>
    <xdr:to>
      <xdr:col>20</xdr:col>
      <xdr:colOff>259773</xdr:colOff>
      <xdr:row>58</xdr:row>
      <xdr:rowOff>104775</xdr:rowOff>
    </xdr:to>
    <xdr:sp macro="" textlink="">
      <xdr:nvSpPr>
        <xdr:cNvPr id="15813" name="Rectangle 1"/>
        <xdr:cNvSpPr>
          <a:spLocks noChangeArrowheads="1"/>
        </xdr:cNvSpPr>
      </xdr:nvSpPr>
      <xdr:spPr bwMode="auto">
        <a:xfrm>
          <a:off x="2805545" y="14799252"/>
          <a:ext cx="1627910" cy="822614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53936</xdr:colOff>
      <xdr:row>20</xdr:row>
      <xdr:rowOff>0</xdr:rowOff>
    </xdr:from>
    <xdr:to>
      <xdr:col>13</xdr:col>
      <xdr:colOff>62595</xdr:colOff>
      <xdr:row>31</xdr:row>
      <xdr:rowOff>91108</xdr:rowOff>
    </xdr:to>
    <xdr:sp macro="" textlink="">
      <xdr:nvSpPr>
        <xdr:cNvPr id="15815" name="Rectangle 3"/>
        <xdr:cNvSpPr>
          <a:spLocks noChangeArrowheads="1"/>
        </xdr:cNvSpPr>
      </xdr:nvSpPr>
      <xdr:spPr bwMode="auto">
        <a:xfrm>
          <a:off x="3491219" y="7454348"/>
          <a:ext cx="306833" cy="282436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51338</xdr:colOff>
      <xdr:row>31</xdr:row>
      <xdr:rowOff>92284</xdr:rowOff>
    </xdr:from>
    <xdr:to>
      <xdr:col>13</xdr:col>
      <xdr:colOff>14970</xdr:colOff>
      <xdr:row>37</xdr:row>
      <xdr:rowOff>219682</xdr:rowOff>
    </xdr:to>
    <xdr:sp macro="" textlink="">
      <xdr:nvSpPr>
        <xdr:cNvPr id="15816" name="Rectangle 4"/>
        <xdr:cNvSpPr>
          <a:spLocks noChangeArrowheads="1"/>
        </xdr:cNvSpPr>
      </xdr:nvSpPr>
      <xdr:spPr bwMode="auto">
        <a:xfrm>
          <a:off x="3563164" y="10279893"/>
          <a:ext cx="187263" cy="161826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37484</xdr:colOff>
      <xdr:row>37</xdr:row>
      <xdr:rowOff>222086</xdr:rowOff>
    </xdr:from>
    <xdr:to>
      <xdr:col>15</xdr:col>
      <xdr:colOff>49236</xdr:colOff>
      <xdr:row>41</xdr:row>
      <xdr:rowOff>54548</xdr:rowOff>
    </xdr:to>
    <xdr:sp macro="" textlink="">
      <xdr:nvSpPr>
        <xdr:cNvPr id="15817" name="Rectangle 5"/>
        <xdr:cNvSpPr>
          <a:spLocks noChangeArrowheads="1"/>
        </xdr:cNvSpPr>
      </xdr:nvSpPr>
      <xdr:spPr bwMode="auto">
        <a:xfrm>
          <a:off x="3400223" y="11900564"/>
          <a:ext cx="533556" cy="8263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60</xdr:row>
      <xdr:rowOff>19050</xdr:rowOff>
    </xdr:from>
    <xdr:to>
      <xdr:col>18</xdr:col>
      <xdr:colOff>0</xdr:colOff>
      <xdr:row>62</xdr:row>
      <xdr:rowOff>238125</xdr:rowOff>
    </xdr:to>
    <xdr:sp macro="" textlink="">
      <xdr:nvSpPr>
        <xdr:cNvPr id="15820" name="Rectangle 8"/>
        <xdr:cNvSpPr>
          <a:spLocks noChangeArrowheads="1"/>
        </xdr:cNvSpPr>
      </xdr:nvSpPr>
      <xdr:spPr bwMode="auto">
        <a:xfrm>
          <a:off x="3227294" y="16289991"/>
          <a:ext cx="941294" cy="712134"/>
        </a:xfrm>
        <a:prstGeom prst="rect">
          <a:avLst/>
        </a:prstGeom>
        <a:solidFill>
          <a:srgbClr val="000080">
            <a:alpha val="50195"/>
          </a:srgbClr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51338</xdr:colOff>
      <xdr:row>41</xdr:row>
      <xdr:rowOff>59531</xdr:rowOff>
    </xdr:from>
    <xdr:to>
      <xdr:col>13</xdr:col>
      <xdr:colOff>14970</xdr:colOff>
      <xdr:row>47</xdr:row>
      <xdr:rowOff>243052</xdr:rowOff>
    </xdr:to>
    <xdr:sp macro="" textlink="">
      <xdr:nvSpPr>
        <xdr:cNvPr id="10" name="Rectangle 4"/>
        <xdr:cNvSpPr>
          <a:spLocks noChangeArrowheads="1"/>
        </xdr:cNvSpPr>
      </xdr:nvSpPr>
      <xdr:spPr bwMode="auto">
        <a:xfrm>
          <a:off x="3592010" y="12790186"/>
          <a:ext cx="200115" cy="16812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416797</xdr:colOff>
      <xdr:row>0</xdr:row>
      <xdr:rowOff>83125</xdr:rowOff>
    </xdr:from>
    <xdr:to>
      <xdr:col>11</xdr:col>
      <xdr:colOff>252845</xdr:colOff>
      <xdr:row>24</xdr:row>
      <xdr:rowOff>47797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93597" y="83125"/>
          <a:ext cx="1664848" cy="39700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80">
            <a:alpha val="50195"/>
          </a:srgbClr>
        </a:solidFill>
        <a:ln w="9525">
          <a:solidFill>
            <a:srgbClr val="000000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BP86"/>
  <sheetViews>
    <sheetView tabSelected="1" zoomScale="70" zoomScaleNormal="70" workbookViewId="0">
      <selection activeCell="AB31" sqref="AB31"/>
    </sheetView>
  </sheetViews>
  <sheetFormatPr defaultColWidth="9.109375" defaultRowHeight="13.2" outlineLevelCol="1"/>
  <cols>
    <col min="1" max="1" width="3.44140625" style="116" customWidth="1"/>
    <col min="2" max="2" width="19.44140625" style="116" customWidth="1"/>
    <col min="3" max="3" width="3.109375" style="116" customWidth="1"/>
    <col min="4" max="4" width="4.88671875" style="116" customWidth="1"/>
    <col min="5" max="5" width="12.88671875" style="116" customWidth="1"/>
    <col min="6" max="6" width="13.109375" style="116" customWidth="1"/>
    <col min="7" max="7" width="17.5546875" style="116" customWidth="1"/>
    <col min="8" max="8" width="2.88671875" style="116" customWidth="1"/>
    <col min="9" max="9" width="3.33203125" style="123" hidden="1" customWidth="1" outlineLevel="1"/>
    <col min="10" max="10" width="3.33203125" style="133" hidden="1" customWidth="1" outlineLevel="1"/>
    <col min="11" max="13" width="9.109375" style="116" hidden="1" customWidth="1" outlineLevel="1"/>
    <col min="14" max="14" width="28" style="116" hidden="1" customWidth="1" outlineLevel="1"/>
    <col min="15" max="15" width="11.6640625" style="116" hidden="1" customWidth="1" outlineLevel="1"/>
    <col min="16" max="16" width="9.109375" style="116" hidden="1" customWidth="1" outlineLevel="1"/>
    <col min="17" max="17" width="3.5546875" style="116" customWidth="1" collapsed="1"/>
    <col min="18" max="18" width="5.33203125" style="116" customWidth="1"/>
    <col min="19" max="19" width="34.44140625" style="116" customWidth="1"/>
    <col min="20" max="20" width="13" style="116" customWidth="1"/>
    <col min="21" max="21" width="18.6640625" style="116" customWidth="1"/>
    <col min="22" max="22" width="14.21875" style="116" customWidth="1"/>
    <col min="23" max="23" width="12.88671875" style="196" customWidth="1"/>
    <col min="24" max="24" width="3" style="116" customWidth="1"/>
    <col min="25" max="27" width="9.109375" style="116"/>
    <col min="28" max="28" width="32.44140625" style="116" customWidth="1"/>
    <col min="29" max="29" width="11.33203125" style="116" customWidth="1"/>
    <col min="30" max="30" width="11" style="116" customWidth="1"/>
    <col min="31" max="31" width="11.33203125" style="116" customWidth="1"/>
    <col min="32" max="32" width="11" style="116" customWidth="1"/>
    <col min="33" max="34" width="9.109375" style="116"/>
    <col min="35" max="45" width="9.109375" style="116" customWidth="1" outlineLevel="1"/>
    <col min="46" max="47" width="9.109375" style="116"/>
    <col min="48" max="68" width="9.109375" style="116" customWidth="1" outlineLevel="1"/>
    <col min="69" max="16384" width="9.109375" style="116"/>
  </cols>
  <sheetData>
    <row r="1" spans="1:59" ht="13.8" thickBot="1"/>
    <row r="2" spans="1:59" ht="16.2" thickBot="1">
      <c r="A2" s="371" t="s">
        <v>117</v>
      </c>
      <c r="B2" s="372"/>
      <c r="C2" s="372"/>
      <c r="D2" s="372"/>
      <c r="E2" s="372"/>
      <c r="F2" s="372"/>
      <c r="G2" s="372"/>
      <c r="H2" s="373"/>
      <c r="Q2" s="386" t="s">
        <v>137</v>
      </c>
      <c r="R2" s="387"/>
      <c r="S2" s="387"/>
      <c r="T2" s="387"/>
      <c r="U2" s="387"/>
      <c r="V2" s="387"/>
      <c r="W2" s="387"/>
      <c r="X2" s="388"/>
      <c r="Z2" s="386" t="s">
        <v>422</v>
      </c>
      <c r="AA2" s="387"/>
      <c r="AB2" s="387"/>
      <c r="AC2" s="387"/>
      <c r="AD2" s="387"/>
      <c r="AE2" s="387"/>
      <c r="AF2" s="387"/>
      <c r="AG2" s="388"/>
      <c r="AL2" s="341" t="s">
        <v>473</v>
      </c>
      <c r="AM2" s="342"/>
      <c r="AN2" s="343" t="str">
        <f>AS2</f>
        <v>CaCl</v>
      </c>
      <c r="AQ2" s="328" t="s">
        <v>473</v>
      </c>
      <c r="AR2" s="329"/>
      <c r="AS2" s="330" t="str">
        <f>V34</f>
        <v>CaCl</v>
      </c>
      <c r="AV2" s="324" t="s">
        <v>474</v>
      </c>
      <c r="AW2" s="278"/>
      <c r="AX2" s="340" t="s">
        <v>437</v>
      </c>
      <c r="AZ2" s="324" t="s">
        <v>474</v>
      </c>
      <c r="BA2" s="278"/>
      <c r="BB2" s="340" t="s">
        <v>438</v>
      </c>
      <c r="BD2" s="327" t="s">
        <v>474</v>
      </c>
      <c r="BE2" s="325"/>
      <c r="BF2" s="325"/>
      <c r="BG2" s="326" t="s">
        <v>475</v>
      </c>
    </row>
    <row r="3" spans="1:59" ht="54" thickBot="1">
      <c r="A3" s="115"/>
      <c r="B3" s="117"/>
      <c r="C3" s="117"/>
      <c r="D3" s="117"/>
      <c r="E3" s="117"/>
      <c r="F3" s="117"/>
      <c r="G3" s="117"/>
      <c r="H3" s="117"/>
      <c r="N3" s="170" t="s">
        <v>127</v>
      </c>
      <c r="O3" s="194">
        <f>Vэк/Нт*1000</f>
        <v>15.393804002589986</v>
      </c>
      <c r="Q3" s="123"/>
      <c r="R3" s="204"/>
      <c r="S3" s="204"/>
      <c r="T3" s="204"/>
      <c r="U3" s="204"/>
      <c r="V3" s="204"/>
      <c r="W3" s="212"/>
      <c r="X3" s="124"/>
      <c r="Z3" s="123"/>
      <c r="AA3" s="133"/>
      <c r="AB3" s="133"/>
      <c r="AC3" s="133"/>
      <c r="AD3" s="133"/>
      <c r="AE3" s="133"/>
      <c r="AF3" s="133"/>
      <c r="AG3" s="124"/>
      <c r="AI3" s="473" t="s">
        <v>436</v>
      </c>
      <c r="AJ3" s="323"/>
      <c r="AK3" s="323"/>
      <c r="AL3" s="344" t="s">
        <v>430</v>
      </c>
      <c r="AM3" s="345" t="s">
        <v>431</v>
      </c>
      <c r="AN3" s="346" t="s">
        <v>432</v>
      </c>
      <c r="AO3" s="323"/>
      <c r="AP3" s="323"/>
      <c r="AQ3" s="331" t="s">
        <v>430</v>
      </c>
      <c r="AR3" s="332" t="s">
        <v>431</v>
      </c>
      <c r="AS3" s="333" t="s">
        <v>432</v>
      </c>
      <c r="AT3" s="323"/>
      <c r="AV3" s="275" t="s">
        <v>430</v>
      </c>
      <c r="AW3" s="276" t="s">
        <v>431</v>
      </c>
      <c r="AX3" s="277" t="s">
        <v>432</v>
      </c>
      <c r="AZ3" s="275" t="s">
        <v>430</v>
      </c>
      <c r="BA3" s="276" t="s">
        <v>431</v>
      </c>
      <c r="BB3" s="277" t="s">
        <v>432</v>
      </c>
      <c r="BD3" s="279" t="s">
        <v>0</v>
      </c>
      <c r="BE3" s="276" t="s">
        <v>430</v>
      </c>
      <c r="BF3" s="276" t="s">
        <v>431</v>
      </c>
      <c r="BG3" s="277" t="s">
        <v>432</v>
      </c>
    </row>
    <row r="4" spans="1:59" ht="15.75" customHeight="1">
      <c r="A4" s="115"/>
      <c r="B4" s="118" t="s">
        <v>105</v>
      </c>
      <c r="C4" s="357"/>
      <c r="D4" s="358"/>
      <c r="E4" s="358"/>
      <c r="F4" s="358"/>
      <c r="G4" s="359"/>
      <c r="H4" s="122"/>
      <c r="K4" s="156"/>
      <c r="N4" s="170" t="s">
        <v>128</v>
      </c>
      <c r="O4" s="195">
        <f>ЭКв1</f>
        <v>140</v>
      </c>
      <c r="Q4" s="123"/>
      <c r="R4" s="427" t="s">
        <v>132</v>
      </c>
      <c r="S4" s="366" t="s">
        <v>138</v>
      </c>
      <c r="T4" s="366" t="s">
        <v>134</v>
      </c>
      <c r="U4" s="366" t="s">
        <v>133</v>
      </c>
      <c r="V4" s="366" t="s">
        <v>135</v>
      </c>
      <c r="W4" s="399" t="s">
        <v>136</v>
      </c>
      <c r="X4" s="197"/>
      <c r="Z4" s="123"/>
      <c r="AA4" s="417" t="s">
        <v>413</v>
      </c>
      <c r="AB4" s="418"/>
      <c r="AC4" s="418"/>
      <c r="AD4" s="419"/>
      <c r="AE4" s="423" t="s">
        <v>429</v>
      </c>
      <c r="AF4" s="424"/>
      <c r="AG4" s="124"/>
      <c r="AI4" s="474" t="s">
        <v>437</v>
      </c>
      <c r="AJ4" s="262"/>
      <c r="AK4" s="262"/>
      <c r="AL4" s="347"/>
      <c r="AM4" s="348"/>
      <c r="AN4" s="349"/>
      <c r="AO4" s="262"/>
      <c r="AP4" s="262"/>
      <c r="AQ4" s="334"/>
      <c r="AR4" s="335"/>
      <c r="AS4" s="336"/>
      <c r="AT4" s="262"/>
      <c r="AV4" s="273">
        <v>1.01</v>
      </c>
      <c r="AW4" s="267">
        <v>14.9</v>
      </c>
      <c r="AX4" s="274">
        <v>995.1</v>
      </c>
      <c r="AZ4" s="273">
        <v>1.31</v>
      </c>
      <c r="BA4" s="267">
        <v>466</v>
      </c>
      <c r="BB4" s="274">
        <v>844</v>
      </c>
      <c r="BD4" s="273">
        <v>1</v>
      </c>
      <c r="BE4" s="267">
        <v>1.006</v>
      </c>
      <c r="BF4" s="267">
        <v>11.4</v>
      </c>
      <c r="BG4" s="274">
        <v>994.6</v>
      </c>
    </row>
    <row r="5" spans="1:59" ht="16.2" thickBot="1">
      <c r="A5" s="121"/>
      <c r="B5" s="120" t="s">
        <v>106</v>
      </c>
      <c r="C5" s="383"/>
      <c r="D5" s="384"/>
      <c r="E5" s="384"/>
      <c r="F5" s="384"/>
      <c r="G5" s="385"/>
      <c r="H5" s="122"/>
      <c r="N5" s="193" t="s">
        <v>129</v>
      </c>
      <c r="O5" s="195">
        <f>Vэк</f>
        <v>23.090706003884979</v>
      </c>
      <c r="Q5" s="123"/>
      <c r="R5" s="428"/>
      <c r="S5" s="367"/>
      <c r="T5" s="367"/>
      <c r="U5" s="367"/>
      <c r="V5" s="367"/>
      <c r="W5" s="400"/>
      <c r="X5" s="197"/>
      <c r="Z5" s="123"/>
      <c r="AA5" s="420"/>
      <c r="AB5" s="421"/>
      <c r="AC5" s="421"/>
      <c r="AD5" s="422"/>
      <c r="AE5" s="425"/>
      <c r="AF5" s="426"/>
      <c r="AG5" s="124"/>
      <c r="AI5" s="291" t="s">
        <v>438</v>
      </c>
      <c r="AJ5" s="262"/>
      <c r="AK5" s="262"/>
      <c r="AL5" s="347">
        <f>IF(AQ5=0,"",AQ5)</f>
        <v>1.01</v>
      </c>
      <c r="AM5" s="348">
        <f>IF(AR5=0,"",AR5)</f>
        <v>14.9</v>
      </c>
      <c r="AN5" s="349">
        <f>IF(AS5=0,"",AS5)</f>
        <v>995.1</v>
      </c>
      <c r="AO5" s="262"/>
      <c r="AP5" s="262"/>
      <c r="AQ5" s="334">
        <f>IF($AS$2=$AX$2,AV4,IF($AS$2=$BB$2,AZ4,IF($AS$2=$BG$2,BE4,"")))</f>
        <v>1.01</v>
      </c>
      <c r="AR5" s="335">
        <f t="shared" ref="AR5:AS20" si="0">IF($AS$2=$AX$2,AW4,IF($AS$2=$BB$2,BA4,IF($AS$2=$BG$2,BF4,"")))</f>
        <v>14.9</v>
      </c>
      <c r="AS5" s="336">
        <f t="shared" si="0"/>
        <v>995.1</v>
      </c>
      <c r="AT5" s="262"/>
      <c r="AV5" s="268">
        <v>1.02</v>
      </c>
      <c r="AW5" s="264">
        <v>29.5</v>
      </c>
      <c r="AX5" s="269">
        <v>990.5</v>
      </c>
      <c r="AZ5" s="268">
        <v>1.32</v>
      </c>
      <c r="BA5" s="264">
        <v>482</v>
      </c>
      <c r="BB5" s="269">
        <v>838</v>
      </c>
      <c r="BD5" s="268">
        <v>2</v>
      </c>
      <c r="BE5" s="264">
        <v>1.0129999999999999</v>
      </c>
      <c r="BF5" s="264">
        <v>20</v>
      </c>
      <c r="BG5" s="269">
        <v>993</v>
      </c>
    </row>
    <row r="6" spans="1:59" ht="16.2" thickBot="1">
      <c r="A6" s="115"/>
      <c r="B6" s="119" t="s">
        <v>107</v>
      </c>
      <c r="C6" s="360"/>
      <c r="D6" s="361"/>
      <c r="E6" s="361"/>
      <c r="F6" s="361"/>
      <c r="G6" s="362"/>
      <c r="H6" s="122"/>
      <c r="Q6" s="123"/>
      <c r="R6" s="205">
        <v>1</v>
      </c>
      <c r="S6" s="210" t="s">
        <v>139</v>
      </c>
      <c r="T6" s="198">
        <v>3</v>
      </c>
      <c r="U6" s="199">
        <v>0.22600000000000001</v>
      </c>
      <c r="V6" s="200">
        <f>T6/U6</f>
        <v>13.274336283185841</v>
      </c>
      <c r="W6" s="213" t="s">
        <v>101</v>
      </c>
      <c r="X6" s="124"/>
      <c r="Z6" s="123"/>
      <c r="AA6" s="431" t="s">
        <v>423</v>
      </c>
      <c r="AB6" s="432"/>
      <c r="AC6" s="432"/>
      <c r="AD6" s="433"/>
      <c r="AE6" s="439">
        <f>G42*V23</f>
        <v>3.7193013832954813</v>
      </c>
      <c r="AF6" s="440"/>
      <c r="AG6" s="124"/>
      <c r="AI6" s="291" t="s">
        <v>439</v>
      </c>
      <c r="AJ6" s="262"/>
      <c r="AK6" s="262"/>
      <c r="AL6" s="350">
        <f t="shared" ref="AL6:AL33" si="1">IF(AQ6=0,"",AQ6)</f>
        <v>1.02</v>
      </c>
      <c r="AM6" s="351">
        <f t="shared" ref="AM6:AM33" si="2">IF(AR6=0,"",AR6)</f>
        <v>29.5</v>
      </c>
      <c r="AN6" s="352">
        <f t="shared" ref="AN6:AN33" si="3">IF(AS6=0,"",AS6)</f>
        <v>990.5</v>
      </c>
      <c r="AO6" s="262"/>
      <c r="AP6" s="262"/>
      <c r="AQ6" s="337">
        <f t="shared" ref="AQ6:AS30" si="4">IF($AS$2=$AX$2,AV5,IF($AS$2=$BB$2,AZ5,IF($AS$2=$BG$2,BE5,"")))</f>
        <v>1.02</v>
      </c>
      <c r="AR6" s="338">
        <f t="shared" si="0"/>
        <v>29.5</v>
      </c>
      <c r="AS6" s="339">
        <f t="shared" si="0"/>
        <v>990.5</v>
      </c>
      <c r="AT6" s="262"/>
      <c r="AV6" s="268">
        <v>1.03</v>
      </c>
      <c r="AW6" s="264">
        <v>44.2</v>
      </c>
      <c r="AX6" s="269">
        <v>985.8</v>
      </c>
      <c r="AZ6" s="268">
        <v>1.33</v>
      </c>
      <c r="BA6" s="264">
        <v>498</v>
      </c>
      <c r="BB6" s="269">
        <v>832</v>
      </c>
      <c r="BD6" s="268">
        <v>4</v>
      </c>
      <c r="BE6" s="264">
        <v>1.026</v>
      </c>
      <c r="BF6" s="264">
        <v>39</v>
      </c>
      <c r="BG6" s="269">
        <v>987</v>
      </c>
    </row>
    <row r="7" spans="1:59" ht="16.2" thickBot="1">
      <c r="A7" s="115"/>
      <c r="B7" s="117"/>
      <c r="C7" s="117"/>
      <c r="D7" s="117"/>
      <c r="E7" s="117"/>
      <c r="F7" s="117"/>
      <c r="G7" s="117"/>
      <c r="H7" s="117"/>
      <c r="Q7" s="123"/>
      <c r="R7" s="206">
        <v>2</v>
      </c>
      <c r="S7" s="211" t="s">
        <v>140</v>
      </c>
      <c r="T7" s="198">
        <f>IF(AND(Yзадан&lt;&gt;"",КЦзадан="х"),VYзадан+10%*VYзадан,IF(КЦзадан="х",(Vзатр+Vнкт)*1.1,IF(КЦ=1,Vгл+ЗЖ,IF(AND(КЦ=2,Vзум&gt;Vнкт),Vзум,IF(КЦ=2,Vнкт,IF(КЦ=3,Vнкт+Vзатр,Vнкт+Vзатр))))))</f>
        <v>23.245633645596758</v>
      </c>
      <c r="V7" s="200">
        <f>IF(ПЦ="-","-",ПЦ/расход)</f>
        <v>102.85678604246353</v>
      </c>
      <c r="W7" s="214" t="str">
        <f>IF(КЦ=1,"-",IF(КЦ&gt;2,Нсп/0.04/3600,(Нт-Нсп)/0.04/3600))</f>
        <v>-</v>
      </c>
      <c r="X7" s="124"/>
      <c r="Z7" s="123"/>
      <c r="AA7" s="434" t="s">
        <v>424</v>
      </c>
      <c r="AB7" s="435"/>
      <c r="AC7" s="435"/>
      <c r="AD7" s="436"/>
      <c r="AE7" s="441">
        <f>G44*V23</f>
        <v>0.92982534582387033</v>
      </c>
      <c r="AF7" s="442"/>
      <c r="AG7" s="124"/>
      <c r="AI7" s="292" t="s">
        <v>476</v>
      </c>
      <c r="AL7" s="350">
        <f t="shared" si="1"/>
        <v>1.03</v>
      </c>
      <c r="AM7" s="351">
        <f t="shared" si="2"/>
        <v>44.2</v>
      </c>
      <c r="AN7" s="352">
        <f t="shared" si="3"/>
        <v>985.8</v>
      </c>
      <c r="AQ7" s="337">
        <f t="shared" si="4"/>
        <v>1.03</v>
      </c>
      <c r="AR7" s="338">
        <f t="shared" si="0"/>
        <v>44.2</v>
      </c>
      <c r="AS7" s="339">
        <f t="shared" si="0"/>
        <v>985.8</v>
      </c>
      <c r="AV7" s="268">
        <v>1.04</v>
      </c>
      <c r="AW7" s="264">
        <v>58</v>
      </c>
      <c r="AX7" s="269">
        <v>982</v>
      </c>
      <c r="AZ7" s="268">
        <v>1.34</v>
      </c>
      <c r="BA7" s="264">
        <v>513</v>
      </c>
      <c r="BB7" s="269">
        <v>827</v>
      </c>
      <c r="BD7" s="268">
        <v>6</v>
      </c>
      <c r="BE7" s="264">
        <v>1.0389999999999999</v>
      </c>
      <c r="BF7" s="264">
        <v>62.8</v>
      </c>
      <c r="BG7" s="269">
        <v>976.2</v>
      </c>
    </row>
    <row r="8" spans="1:59" ht="15.6">
      <c r="A8" s="371" t="s">
        <v>104</v>
      </c>
      <c r="B8" s="372"/>
      <c r="C8" s="372"/>
      <c r="D8" s="372"/>
      <c r="E8" s="372"/>
      <c r="F8" s="372"/>
      <c r="G8" s="372"/>
      <c r="H8" s="373"/>
      <c r="N8" s="125"/>
      <c r="Q8" s="123"/>
      <c r="R8" s="206">
        <v>3</v>
      </c>
      <c r="S8" s="208" t="s">
        <v>142</v>
      </c>
      <c r="T8" s="198" t="str">
        <f>IF(КЦ=1,"-",IF(КЦ=2,IF(ПЦ=Vнкт,(Vзум+Vзатр)+ЗЖ,(Vнкт+Vзатр)+ЗЖ),IF(AND(оКЦ&lt;3,оКЦ&gt;2),Vзум-Vнкт-Vзатр,IF(КЦ=3,Vзум,Vнкт+Vзатр))))</f>
        <v>-</v>
      </c>
      <c r="U8" s="199" t="str">
        <f>IF(ВЦ="-","-",G40)</f>
        <v>-</v>
      </c>
      <c r="V8" s="200" t="str">
        <f>IF(ВЦ="-","-",ВЦ/расход)</f>
        <v>-</v>
      </c>
      <c r="W8" s="214" t="str">
        <f>IF(КЦ&lt;=2,"-",Нсп/0.04/3600)</f>
        <v>-</v>
      </c>
      <c r="X8" s="124"/>
      <c r="Z8" s="123"/>
      <c r="AA8" s="434" t="s">
        <v>425</v>
      </c>
      <c r="AB8" s="435"/>
      <c r="AC8" s="435"/>
      <c r="AD8" s="436"/>
      <c r="AE8" s="441">
        <f>IF(V34=AI7,V23-AE6-AE7,AE10*V36/1000)</f>
        <v>16.98976871889376</v>
      </c>
      <c r="AF8" s="442"/>
      <c r="AG8" s="124"/>
      <c r="AL8" s="350">
        <f t="shared" si="1"/>
        <v>1.04</v>
      </c>
      <c r="AM8" s="351">
        <f t="shared" si="2"/>
        <v>58</v>
      </c>
      <c r="AN8" s="352">
        <f t="shared" si="3"/>
        <v>982</v>
      </c>
      <c r="AQ8" s="337">
        <f t="shared" si="4"/>
        <v>1.04</v>
      </c>
      <c r="AR8" s="338">
        <f t="shared" si="0"/>
        <v>58</v>
      </c>
      <c r="AS8" s="339">
        <f t="shared" si="0"/>
        <v>982</v>
      </c>
      <c r="AV8" s="268">
        <v>1.05</v>
      </c>
      <c r="AW8" s="264">
        <v>67.3</v>
      </c>
      <c r="AX8" s="269">
        <v>982.7</v>
      </c>
      <c r="AZ8" s="268">
        <v>1.35</v>
      </c>
      <c r="BA8" s="264">
        <v>529</v>
      </c>
      <c r="BB8" s="269">
        <v>821</v>
      </c>
      <c r="BD8" s="268">
        <v>8</v>
      </c>
      <c r="BE8" s="264">
        <v>1.052</v>
      </c>
      <c r="BF8" s="264">
        <v>82.8</v>
      </c>
      <c r="BG8" s="269">
        <v>969.2</v>
      </c>
    </row>
    <row r="9" spans="1:59" ht="13.5" customHeight="1" thickBot="1">
      <c r="Q9" s="123"/>
      <c r="R9" s="206">
        <v>4</v>
      </c>
      <c r="S9" s="208" t="s">
        <v>143</v>
      </c>
      <c r="T9" s="198" t="str">
        <f>IF(КЦ=1,"-",IF(КЦ=2,"-",IF(КЦ=3,(Vнкт+Vзатр)+ЗЖ,IF(AND(оКЦ&lt;4,оКЦ&gt;3),Vзум-ПЦ-ВЦ,Vнкт+Vзатр))))</f>
        <v>-</v>
      </c>
      <c r="U9" s="199" t="str">
        <f>IF(ТЦ="-","-",U8)</f>
        <v>-</v>
      </c>
      <c r="V9" s="200" t="str">
        <f>IF(ТЦ="-","-",ТЦ/расход)</f>
        <v>-</v>
      </c>
      <c r="W9" s="214" t="str">
        <f>IF(КЦ&lt;=3,"-",Нсп/0.04/3600)</f>
        <v>-</v>
      </c>
      <c r="X9" s="124"/>
      <c r="Z9" s="123"/>
      <c r="AA9" s="434" t="s">
        <v>426</v>
      </c>
      <c r="AB9" s="435"/>
      <c r="AC9" s="435"/>
      <c r="AD9" s="436"/>
      <c r="AE9" s="441">
        <f>AE10*V35/1000</f>
        <v>5.6979697192086771</v>
      </c>
      <c r="AF9" s="442"/>
      <c r="AG9" s="124"/>
      <c r="AL9" s="350">
        <f t="shared" si="1"/>
        <v>1.05</v>
      </c>
      <c r="AM9" s="351">
        <f t="shared" si="2"/>
        <v>67.3</v>
      </c>
      <c r="AN9" s="352">
        <f t="shared" si="3"/>
        <v>982.7</v>
      </c>
      <c r="AQ9" s="337">
        <f t="shared" si="4"/>
        <v>1.05</v>
      </c>
      <c r="AR9" s="338">
        <f t="shared" si="0"/>
        <v>67.3</v>
      </c>
      <c r="AS9" s="339">
        <f t="shared" si="0"/>
        <v>982.7</v>
      </c>
      <c r="AV9" s="268">
        <v>1.06</v>
      </c>
      <c r="AW9" s="264">
        <v>84.4</v>
      </c>
      <c r="AX9" s="269">
        <v>975.6</v>
      </c>
      <c r="AZ9" s="268">
        <v>1.36</v>
      </c>
      <c r="BA9" s="264">
        <v>545</v>
      </c>
      <c r="BB9" s="269">
        <v>815</v>
      </c>
      <c r="BD9" s="268">
        <v>10</v>
      </c>
      <c r="BE9" s="264">
        <v>1.0649999999999999</v>
      </c>
      <c r="BF9" s="264">
        <v>105.6</v>
      </c>
      <c r="BG9" s="269">
        <v>959.4</v>
      </c>
    </row>
    <row r="10" spans="1:59" ht="16.2" thickBot="1">
      <c r="B10" s="368" t="s">
        <v>108</v>
      </c>
      <c r="C10" s="369"/>
      <c r="D10" s="369"/>
      <c r="E10" s="369"/>
      <c r="F10" s="370"/>
      <c r="G10" s="138">
        <v>1500</v>
      </c>
      <c r="Q10" s="123"/>
      <c r="R10" s="207">
        <v>5</v>
      </c>
      <c r="S10" s="209" t="s">
        <v>144</v>
      </c>
      <c r="T10" s="201" t="str">
        <f>IF(КЦ=1,"-",IF(КЦ=2,"-",IF(КЦ=3,"-",(Vнкт+Vзатр)+ЗЖ)))</f>
        <v>-</v>
      </c>
      <c r="U10" s="202" t="str">
        <f>IF(ЧЦ="-","-",U9)</f>
        <v>-</v>
      </c>
      <c r="V10" s="203" t="str">
        <f>IF(ЧЦ="-","-",ЧЦ/расход)</f>
        <v>-</v>
      </c>
      <c r="W10" s="215" t="str">
        <f>IF(КЦ&lt;=4,"-",Нсп/0.04/3600)</f>
        <v>-</v>
      </c>
      <c r="X10" s="124"/>
      <c r="Z10" s="123"/>
      <c r="AA10" s="434" t="s">
        <v>427</v>
      </c>
      <c r="AB10" s="435"/>
      <c r="AC10" s="435"/>
      <c r="AD10" s="436"/>
      <c r="AE10" s="441">
        <f>V23-AE6-AE7</f>
        <v>18.596506916477406</v>
      </c>
      <c r="AF10" s="442"/>
      <c r="AG10" s="124"/>
      <c r="AL10" s="350">
        <f t="shared" si="1"/>
        <v>1.06</v>
      </c>
      <c r="AM10" s="351">
        <f t="shared" si="2"/>
        <v>84.4</v>
      </c>
      <c r="AN10" s="352">
        <f t="shared" si="3"/>
        <v>975.6</v>
      </c>
      <c r="AQ10" s="337">
        <f t="shared" si="4"/>
        <v>1.06</v>
      </c>
      <c r="AR10" s="338">
        <f t="shared" si="0"/>
        <v>84.4</v>
      </c>
      <c r="AS10" s="339">
        <f t="shared" si="0"/>
        <v>975.6</v>
      </c>
      <c r="AV10" s="268">
        <v>1.07</v>
      </c>
      <c r="AW10" s="264">
        <v>97.6</v>
      </c>
      <c r="AX10" s="269">
        <v>972.4</v>
      </c>
      <c r="AZ10" s="268">
        <v>1.37</v>
      </c>
      <c r="BA10" s="264">
        <v>560</v>
      </c>
      <c r="BB10" s="269">
        <v>810</v>
      </c>
      <c r="BD10" s="268">
        <v>12</v>
      </c>
      <c r="BE10" s="264">
        <v>1.079</v>
      </c>
      <c r="BF10" s="264">
        <v>128</v>
      </c>
      <c r="BG10" s="269">
        <v>951</v>
      </c>
    </row>
    <row r="11" spans="1:59" ht="16.2" thickBot="1">
      <c r="B11" s="354" t="s">
        <v>109</v>
      </c>
      <c r="C11" s="355"/>
      <c r="D11" s="355"/>
      <c r="E11" s="355"/>
      <c r="F11" s="356"/>
      <c r="G11" s="139">
        <v>1500</v>
      </c>
      <c r="O11" s="137"/>
      <c r="Q11" s="176"/>
      <c r="R11" s="134"/>
      <c r="S11" s="134"/>
      <c r="T11" s="134"/>
      <c r="U11" s="134"/>
      <c r="V11" s="134"/>
      <c r="W11" s="216"/>
      <c r="X11" s="135"/>
      <c r="Z11" s="123"/>
      <c r="AA11" s="406" t="s">
        <v>428</v>
      </c>
      <c r="AB11" s="407"/>
      <c r="AC11" s="407"/>
      <c r="AD11" s="408"/>
      <c r="AE11" s="437">
        <f>IF(V29&lt;1,1,(V29*V23-G41*AE6-G43*AE7)/AE10)</f>
        <v>1.2174862385321101</v>
      </c>
      <c r="AF11" s="438"/>
      <c r="AG11" s="124"/>
      <c r="AL11" s="350">
        <f t="shared" si="1"/>
        <v>1.07</v>
      </c>
      <c r="AM11" s="351">
        <f t="shared" si="2"/>
        <v>97.6</v>
      </c>
      <c r="AN11" s="352">
        <f t="shared" si="3"/>
        <v>972.4</v>
      </c>
      <c r="AQ11" s="337">
        <f t="shared" si="4"/>
        <v>1.07</v>
      </c>
      <c r="AR11" s="338">
        <f t="shared" si="0"/>
        <v>97.6</v>
      </c>
      <c r="AS11" s="339">
        <f t="shared" si="0"/>
        <v>972.4</v>
      </c>
      <c r="AV11" s="268">
        <v>1.08</v>
      </c>
      <c r="AW11" s="264">
        <v>104.5</v>
      </c>
      <c r="AX11" s="269">
        <v>975.5</v>
      </c>
      <c r="AZ11" s="268">
        <v>1.38</v>
      </c>
      <c r="BA11" s="264">
        <v>576</v>
      </c>
      <c r="BB11" s="269">
        <v>804</v>
      </c>
      <c r="BD11" s="268">
        <v>14</v>
      </c>
      <c r="BE11" s="264">
        <v>1.093</v>
      </c>
      <c r="BF11" s="264">
        <v>154</v>
      </c>
      <c r="BG11" s="269">
        <v>939</v>
      </c>
    </row>
    <row r="12" spans="1:59" ht="15.6">
      <c r="B12" s="354" t="s">
        <v>110</v>
      </c>
      <c r="C12" s="355"/>
      <c r="D12" s="355"/>
      <c r="E12" s="355"/>
      <c r="F12" s="356"/>
      <c r="G12" s="139">
        <v>1400</v>
      </c>
      <c r="O12" s="137"/>
      <c r="Q12" s="299"/>
      <c r="R12" s="300"/>
      <c r="S12" s="300"/>
      <c r="T12" s="300"/>
      <c r="U12" s="300"/>
      <c r="V12" s="300"/>
      <c r="W12" s="301"/>
      <c r="X12" s="302"/>
      <c r="Z12" s="176"/>
      <c r="AA12" s="134"/>
      <c r="AB12" s="134"/>
      <c r="AC12" s="134"/>
      <c r="AD12" s="134"/>
      <c r="AE12" s="134"/>
      <c r="AF12" s="134"/>
      <c r="AG12" s="135"/>
      <c r="AL12" s="350">
        <f t="shared" si="1"/>
        <v>1.08</v>
      </c>
      <c r="AM12" s="351">
        <f t="shared" si="2"/>
        <v>104.5</v>
      </c>
      <c r="AN12" s="352">
        <f t="shared" si="3"/>
        <v>975.5</v>
      </c>
      <c r="AQ12" s="337">
        <f t="shared" si="4"/>
        <v>1.08</v>
      </c>
      <c r="AR12" s="338">
        <f t="shared" si="0"/>
        <v>104.5</v>
      </c>
      <c r="AS12" s="339">
        <f t="shared" si="0"/>
        <v>975.5</v>
      </c>
      <c r="AV12" s="268">
        <v>1.0900000000000001</v>
      </c>
      <c r="AW12" s="264">
        <v>117.4</v>
      </c>
      <c r="AX12" s="269">
        <v>972.6</v>
      </c>
      <c r="AZ12" s="268">
        <v>1.39</v>
      </c>
      <c r="BA12" s="264">
        <v>592</v>
      </c>
      <c r="BB12" s="269">
        <v>798</v>
      </c>
      <c r="BD12" s="268">
        <v>16</v>
      </c>
      <c r="BE12" s="264">
        <v>1.1060000000000001</v>
      </c>
      <c r="BF12" s="264">
        <v>176.9</v>
      </c>
      <c r="BG12" s="269">
        <v>929.1</v>
      </c>
    </row>
    <row r="13" spans="1:59" ht="15.6">
      <c r="B13" s="354" t="s">
        <v>280</v>
      </c>
      <c r="C13" s="355"/>
      <c r="D13" s="355"/>
      <c r="E13" s="355"/>
      <c r="F13" s="356"/>
      <c r="G13" s="257">
        <v>0.88</v>
      </c>
      <c r="N13" s="170" t="s">
        <v>130</v>
      </c>
      <c r="O13" s="194">
        <f>НКТ1+НКТ2</f>
        <v>1400</v>
      </c>
      <c r="Q13" s="386" t="s">
        <v>126</v>
      </c>
      <c r="R13" s="387"/>
      <c r="S13" s="387"/>
      <c r="T13" s="387"/>
      <c r="U13" s="387"/>
      <c r="V13" s="387"/>
      <c r="W13" s="387"/>
      <c r="X13" s="388"/>
      <c r="AL13" s="350">
        <f t="shared" si="1"/>
        <v>1.0900000000000001</v>
      </c>
      <c r="AM13" s="351">
        <f t="shared" si="2"/>
        <v>117.4</v>
      </c>
      <c r="AN13" s="352">
        <f t="shared" si="3"/>
        <v>972.6</v>
      </c>
      <c r="AQ13" s="337">
        <f t="shared" si="4"/>
        <v>1.0900000000000001</v>
      </c>
      <c r="AR13" s="338">
        <f t="shared" si="0"/>
        <v>117.4</v>
      </c>
      <c r="AS13" s="339">
        <f t="shared" si="0"/>
        <v>972.6</v>
      </c>
      <c r="AV13" s="268">
        <v>1.1000000000000001</v>
      </c>
      <c r="AW13" s="264">
        <v>126.8</v>
      </c>
      <c r="AX13" s="269">
        <v>973.2</v>
      </c>
      <c r="AZ13" s="268">
        <v>1.4</v>
      </c>
      <c r="BA13" s="264">
        <v>607</v>
      </c>
      <c r="BB13" s="269">
        <v>793</v>
      </c>
      <c r="BD13" s="268">
        <v>18</v>
      </c>
      <c r="BE13" s="264">
        <v>1.1200000000000001</v>
      </c>
      <c r="BF13" s="264">
        <v>202.6</v>
      </c>
      <c r="BG13" s="269">
        <v>917.4</v>
      </c>
    </row>
    <row r="14" spans="1:59" ht="16.2" thickBot="1">
      <c r="B14" s="378" t="s">
        <v>111</v>
      </c>
      <c r="C14" s="381"/>
      <c r="D14" s="381"/>
      <c r="E14" s="381"/>
      <c r="F14" s="382"/>
      <c r="G14" s="140">
        <v>150</v>
      </c>
      <c r="Q14" s="123"/>
      <c r="R14" s="163"/>
      <c r="S14" s="161"/>
      <c r="T14" s="161"/>
      <c r="U14" s="157"/>
      <c r="V14" s="158"/>
      <c r="W14" s="157"/>
      <c r="X14" s="174"/>
      <c r="Z14" s="386" t="s">
        <v>137</v>
      </c>
      <c r="AA14" s="387"/>
      <c r="AB14" s="387"/>
      <c r="AC14" s="387"/>
      <c r="AD14" s="387"/>
      <c r="AE14" s="387"/>
      <c r="AF14" s="387"/>
      <c r="AG14" s="388"/>
      <c r="AL14" s="350">
        <f t="shared" si="1"/>
        <v>1.1000000000000001</v>
      </c>
      <c r="AM14" s="351">
        <f t="shared" si="2"/>
        <v>126.8</v>
      </c>
      <c r="AN14" s="352">
        <f t="shared" si="3"/>
        <v>973.2</v>
      </c>
      <c r="AQ14" s="337">
        <f t="shared" si="4"/>
        <v>1.1000000000000001</v>
      </c>
      <c r="AR14" s="338">
        <f t="shared" si="0"/>
        <v>126.8</v>
      </c>
      <c r="AS14" s="339">
        <f t="shared" si="0"/>
        <v>973.2</v>
      </c>
      <c r="AV14" s="268">
        <v>1.1100000000000001</v>
      </c>
      <c r="AW14" s="264">
        <v>144.5</v>
      </c>
      <c r="AX14" s="269">
        <v>965.5</v>
      </c>
      <c r="AZ14" s="268">
        <v>1.41</v>
      </c>
      <c r="BA14" s="264">
        <v>623</v>
      </c>
      <c r="BB14" s="269">
        <v>787</v>
      </c>
      <c r="BD14" s="268">
        <v>20</v>
      </c>
      <c r="BE14" s="264">
        <v>1.135</v>
      </c>
      <c r="BF14" s="264">
        <v>225.4</v>
      </c>
      <c r="BG14" s="269">
        <v>909.6</v>
      </c>
    </row>
    <row r="15" spans="1:59" ht="16.2" thickBot="1">
      <c r="Q15" s="123"/>
      <c r="R15" s="396" t="s">
        <v>54</v>
      </c>
      <c r="S15" s="397"/>
      <c r="T15" s="397"/>
      <c r="U15" s="398"/>
      <c r="V15" s="285">
        <f>НКТ1+НКТ2+НКТ3</f>
        <v>1400</v>
      </c>
      <c r="W15" s="172" t="s">
        <v>1</v>
      </c>
      <c r="X15" s="174"/>
      <c r="Z15" s="123"/>
      <c r="AA15" s="204"/>
      <c r="AB15" s="204"/>
      <c r="AC15" s="204"/>
      <c r="AD15" s="204"/>
      <c r="AE15" s="204"/>
      <c r="AF15" s="212"/>
      <c r="AG15" s="124"/>
      <c r="AL15" s="350">
        <f t="shared" si="1"/>
        <v>1.1100000000000001</v>
      </c>
      <c r="AM15" s="351">
        <f t="shared" si="2"/>
        <v>144.5</v>
      </c>
      <c r="AN15" s="352">
        <f t="shared" si="3"/>
        <v>965.5</v>
      </c>
      <c r="AQ15" s="337">
        <f t="shared" si="4"/>
        <v>1.1100000000000001</v>
      </c>
      <c r="AR15" s="338">
        <f t="shared" si="0"/>
        <v>144.5</v>
      </c>
      <c r="AS15" s="339">
        <f t="shared" si="0"/>
        <v>965.5</v>
      </c>
      <c r="AV15" s="268">
        <v>1.1200000000000001</v>
      </c>
      <c r="AW15" s="264">
        <v>160.5</v>
      </c>
      <c r="AX15" s="269">
        <v>959.5</v>
      </c>
      <c r="AZ15" s="268">
        <v>1.42</v>
      </c>
      <c r="BA15" s="264">
        <v>639</v>
      </c>
      <c r="BB15" s="269">
        <v>781</v>
      </c>
      <c r="BD15" s="268">
        <v>22</v>
      </c>
      <c r="BE15" s="264">
        <v>1.149</v>
      </c>
      <c r="BF15" s="264">
        <v>251</v>
      </c>
      <c r="BG15" s="269">
        <v>898</v>
      </c>
    </row>
    <row r="16" spans="1:59" ht="13.5" customHeight="1" thickBot="1">
      <c r="A16" s="371" t="s">
        <v>56</v>
      </c>
      <c r="B16" s="372"/>
      <c r="C16" s="372"/>
      <c r="D16" s="372"/>
      <c r="E16" s="372"/>
      <c r="F16" s="372"/>
      <c r="G16" s="372"/>
      <c r="H16" s="373"/>
      <c r="Q16" s="123"/>
      <c r="R16" s="389" t="s">
        <v>49</v>
      </c>
      <c r="S16" s="390"/>
      <c r="T16" s="390"/>
      <c r="U16" s="391"/>
      <c r="V16" s="187">
        <f>IF(ЭКв2=0,PI()*ЭКв1^2/4000000*Нт,(PI()*ЭКв1^2/4000000)*Нгол+(PI()*ЭКв2^2/4000000)*(Нт-Нгол))</f>
        <v>23.090706003884979</v>
      </c>
      <c r="W16" s="171" t="s">
        <v>4</v>
      </c>
      <c r="X16" s="175"/>
      <c r="Z16" s="123"/>
      <c r="AA16" s="443" t="s">
        <v>413</v>
      </c>
      <c r="AB16" s="444"/>
      <c r="AC16" s="366" t="s">
        <v>418</v>
      </c>
      <c r="AD16" s="366" t="s">
        <v>419</v>
      </c>
      <c r="AE16" s="366" t="s">
        <v>420</v>
      </c>
      <c r="AF16" s="399" t="s">
        <v>421</v>
      </c>
      <c r="AG16" s="197"/>
      <c r="AL16" s="350">
        <f t="shared" si="1"/>
        <v>1.1200000000000001</v>
      </c>
      <c r="AM16" s="351">
        <f t="shared" si="2"/>
        <v>160.5</v>
      </c>
      <c r="AN16" s="352">
        <f t="shared" si="3"/>
        <v>959.5</v>
      </c>
      <c r="AQ16" s="337">
        <f t="shared" si="4"/>
        <v>1.1200000000000001</v>
      </c>
      <c r="AR16" s="338">
        <f t="shared" si="0"/>
        <v>160.5</v>
      </c>
      <c r="AS16" s="339">
        <f t="shared" si="0"/>
        <v>959.5</v>
      </c>
      <c r="AV16" s="268">
        <v>1.1299999999999999</v>
      </c>
      <c r="AW16" s="264">
        <v>175</v>
      </c>
      <c r="AX16" s="269">
        <v>955</v>
      </c>
      <c r="AZ16" s="268">
        <v>1.43</v>
      </c>
      <c r="BA16" s="264">
        <v>654</v>
      </c>
      <c r="BB16" s="269">
        <v>776</v>
      </c>
      <c r="BD16" s="270">
        <v>24</v>
      </c>
      <c r="BE16" s="271">
        <v>1.1599999999999999</v>
      </c>
      <c r="BF16" s="271">
        <v>270</v>
      </c>
      <c r="BG16" s="272">
        <v>890</v>
      </c>
    </row>
    <row r="17" spans="1:54" ht="16.2" thickBot="1">
      <c r="Q17" s="123"/>
      <c r="R17" s="389" t="s">
        <v>85</v>
      </c>
      <c r="S17" s="390"/>
      <c r="T17" s="390"/>
      <c r="U17" s="391"/>
      <c r="V17" s="187">
        <f>(PI()*dвн^2/4000000*НКТ1)+(PI()*dв^2/4000000*НКТ2)+(PI()*dв3^2/4000000*НКТ3)-Vшт</f>
        <v>4.226698756139708</v>
      </c>
      <c r="W17" s="171" t="s">
        <v>4</v>
      </c>
      <c r="X17" s="174"/>
      <c r="Z17" s="123"/>
      <c r="AA17" s="445"/>
      <c r="AB17" s="446"/>
      <c r="AC17" s="367"/>
      <c r="AD17" s="367"/>
      <c r="AE17" s="367"/>
      <c r="AF17" s="400"/>
      <c r="AG17" s="197"/>
      <c r="AL17" s="350">
        <f t="shared" si="1"/>
        <v>1.1299999999999999</v>
      </c>
      <c r="AM17" s="351">
        <f t="shared" si="2"/>
        <v>175</v>
      </c>
      <c r="AN17" s="352">
        <f t="shared" si="3"/>
        <v>955</v>
      </c>
      <c r="AQ17" s="337">
        <f t="shared" si="4"/>
        <v>1.1299999999999999</v>
      </c>
      <c r="AR17" s="338">
        <f t="shared" si="0"/>
        <v>175</v>
      </c>
      <c r="AS17" s="339">
        <f t="shared" si="0"/>
        <v>955</v>
      </c>
      <c r="AV17" s="268">
        <v>1.1399999999999999</v>
      </c>
      <c r="AW17" s="264">
        <v>195.3</v>
      </c>
      <c r="AX17" s="269">
        <v>944.7</v>
      </c>
      <c r="AZ17" s="268">
        <v>1.44</v>
      </c>
      <c r="BA17" s="264">
        <v>670</v>
      </c>
      <c r="BB17" s="269">
        <v>770</v>
      </c>
    </row>
    <row r="18" spans="1:54" ht="15.6">
      <c r="B18" s="368" t="s">
        <v>114</v>
      </c>
      <c r="C18" s="374"/>
      <c r="D18" s="374"/>
      <c r="E18" s="374"/>
      <c r="F18" s="375"/>
      <c r="G18" s="138">
        <v>140</v>
      </c>
      <c r="K18" s="156"/>
      <c r="L18" s="156"/>
      <c r="M18" s="156"/>
      <c r="N18" s="157"/>
      <c r="O18" s="158"/>
      <c r="P18" s="157"/>
      <c r="Q18" s="123"/>
      <c r="R18" s="389" t="s">
        <v>84</v>
      </c>
      <c r="S18" s="390"/>
      <c r="T18" s="390"/>
      <c r="U18" s="391"/>
      <c r="V18" s="187">
        <f>IF(AND('Расчет глушение'!G32="",'Расчет глушение'!G33="",'Расчет глушение'!G34=""),0,(((PI()*(('Расчет глушение'!G32*0.025+'Расчет глушение'!G33*0.022+'Расчет глушение'!G34*0.019)/('Расчет глушение'!G32+'Расчет глушение'!G33+'Расчет глушение'!G34))^2))/4)*('Расчет глушение'!G32+'Расчет глушение'!G33+'Расчет глушение'!G34))</f>
        <v>0</v>
      </c>
      <c r="W18" s="171" t="s">
        <v>4</v>
      </c>
      <c r="X18" s="174"/>
      <c r="Z18" s="123"/>
      <c r="AA18" s="411" t="s">
        <v>414</v>
      </c>
      <c r="AB18" s="412"/>
      <c r="AC18" s="280">
        <f>IF($V$23&gt;=$G$39,$G$39/$V$23*AE6,AE6)</f>
        <v>3.2</v>
      </c>
      <c r="AD18" s="280">
        <f>IF($V$23-$AC$21&gt;=$G$39,$G$39/($V$23-$AC$21)*(AE6-AC18),AE6-AC18)</f>
        <v>0.51930138329548114</v>
      </c>
      <c r="AE18" s="280">
        <f>IF($V$23-$AC$21-$AD$21&gt;=$G$39,$G$39/($V$23-$AC$21-$AD$21)*(AE6-AC18-AD18),AE6-AD18-AC18)</f>
        <v>0</v>
      </c>
      <c r="AF18" s="284">
        <f>IF($V$23-$AC$21-$AD$21-$AE$21&gt;=$G$39,$G$39/($V$23-$AC$21-$AD$21-$AE$21)*(AE6-AC18-AD18-AE18),AE6-AC18-AE18-AD18)</f>
        <v>0</v>
      </c>
      <c r="AG18" s="124"/>
      <c r="AL18" s="350">
        <f t="shared" si="1"/>
        <v>1.1399999999999999</v>
      </c>
      <c r="AM18" s="351">
        <f t="shared" si="2"/>
        <v>195.3</v>
      </c>
      <c r="AN18" s="352">
        <f t="shared" si="3"/>
        <v>944.7</v>
      </c>
      <c r="AQ18" s="337">
        <f t="shared" si="4"/>
        <v>1.1399999999999999</v>
      </c>
      <c r="AR18" s="338">
        <f t="shared" si="0"/>
        <v>195.3</v>
      </c>
      <c r="AS18" s="339">
        <f t="shared" si="0"/>
        <v>944.7</v>
      </c>
      <c r="AV18" s="268">
        <v>1.1499999999999999</v>
      </c>
      <c r="AW18" s="264">
        <v>204.1</v>
      </c>
      <c r="AX18" s="269">
        <v>945.9</v>
      </c>
      <c r="AZ18" s="268">
        <v>1.45</v>
      </c>
      <c r="BA18" s="264">
        <v>686</v>
      </c>
      <c r="BB18" s="269">
        <v>764</v>
      </c>
    </row>
    <row r="19" spans="1:54" ht="15.6">
      <c r="B19" s="354" t="s">
        <v>112</v>
      </c>
      <c r="C19" s="376"/>
      <c r="D19" s="376"/>
      <c r="E19" s="376"/>
      <c r="F19" s="377"/>
      <c r="G19" s="139">
        <v>150</v>
      </c>
      <c r="K19" s="156"/>
      <c r="L19" s="158"/>
      <c r="M19" s="158"/>
      <c r="N19" s="157"/>
      <c r="O19" s="158"/>
      <c r="P19" s="157"/>
      <c r="Q19" s="123"/>
      <c r="R19" s="389" t="s">
        <v>95</v>
      </c>
      <c r="S19" s="390"/>
      <c r="T19" s="390"/>
      <c r="U19" s="391"/>
      <c r="V19" s="187">
        <f>IF(ЭКв2=0,S_ЭКв1*Нсп-S_dнар*НКТ1-S_dн*НКТ2-S_dн3*НКТ3,IF(Нсп&lt;=Нгол,S_ЭКв1*НКТ1-S_dнар*НКТ1+S_ЭКв1*НКТ2-S_dн*НКТ2+S_ЭКв1*НКТ3-S_dн3*НКТ3,IF(НКТ1&gt;=Нгол,(НКТ1-Нгол)*(S_ЭКв2-S_dнар)+Нгол*(S_ЭКв1-S_dнар)+НКТ2*(S_ЭКв2-S_dн)+НКТ3*(S_ЭКв2-S_dн3),IF(НКТ2="",НКТ1*(S_ЭКв1-S_dнар)+(Нсп-Нгол)*(S_ЭКв2-S_dн3)+(НКТ3-(Нсп-Нгол))*(S_ЭКв1-S_dн3),IF(НКТ1+НКТ2&gt;=Нгол,НКТ1*(S_ЭКв1-S_dнар)+(Нгол-НКТ1)*(S_ЭКв1-S_dн)+(НКТ1+НКТ2-Нгол)*(S_ЭКв2-S_dн)+НКТ3*(S_ЭКв2-S_dн3),НКТ1*(S_ЭКв1-S_dнар)+НКТ2*(S_ЭКв1-S_dн)+(Нгол-НКТ1-НКТ2)*(S_ЭКв1-S_dн3)+(Нсп-Нгол)*(S_ЭКв2-S_dн3))))))</f>
        <v>15.366315066871074</v>
      </c>
      <c r="W19" s="171" t="s">
        <v>4</v>
      </c>
      <c r="X19" s="174"/>
      <c r="Z19" s="123"/>
      <c r="AA19" s="409" t="s">
        <v>415</v>
      </c>
      <c r="AB19" s="410"/>
      <c r="AC19" s="280">
        <f>IF($V$23&gt;=$G$39,$G$39/$V$23*AE7,AE7)</f>
        <v>0.8</v>
      </c>
      <c r="AD19" s="280">
        <f t="shared" ref="AD19" si="5">IF($V$23-$AC$21&gt;=$G$39,$G$39/($V$23-$AC$21)*(AE7-AC19),AE7-AC19)</f>
        <v>0.12982534582387029</v>
      </c>
      <c r="AE19" s="280">
        <f>IF($V$23-$AC$21-$AD$21&gt;=$G$39,$G$39/($V$23-$AC$21-$AD$21)*(AE7-AC19-AD19),AE7-AD19-AC19)</f>
        <v>0</v>
      </c>
      <c r="AF19" s="284">
        <f t="shared" ref="AF19" si="6">IF($V$23-$AC$21-$AD$21-$AE$21&gt;=$G$39,$G$39/($V$23-$AC$21-$AD$21-$AE$21)*(AE7-AC19-AD19-AE19),AE7-AC19-AE19-AD19)</f>
        <v>0</v>
      </c>
      <c r="AG19" s="124"/>
      <c r="AL19" s="350">
        <f t="shared" si="1"/>
        <v>1.1499999999999999</v>
      </c>
      <c r="AM19" s="351">
        <f t="shared" si="2"/>
        <v>204.1</v>
      </c>
      <c r="AN19" s="352">
        <f t="shared" si="3"/>
        <v>945.9</v>
      </c>
      <c r="AQ19" s="337">
        <f t="shared" si="4"/>
        <v>1.1499999999999999</v>
      </c>
      <c r="AR19" s="338">
        <f t="shared" si="0"/>
        <v>204.1</v>
      </c>
      <c r="AS19" s="339">
        <f t="shared" si="0"/>
        <v>945.9</v>
      </c>
      <c r="AV19" s="268">
        <v>1.1599999999999999</v>
      </c>
      <c r="AW19" s="264">
        <v>218.8</v>
      </c>
      <c r="AX19" s="269">
        <v>941.2</v>
      </c>
      <c r="AZ19" s="268">
        <v>1.46</v>
      </c>
      <c r="BA19" s="264">
        <v>702</v>
      </c>
      <c r="BB19" s="269">
        <v>758</v>
      </c>
    </row>
    <row r="20" spans="1:54" ht="15.6">
      <c r="B20" s="354" t="s">
        <v>124</v>
      </c>
      <c r="C20" s="376"/>
      <c r="D20" s="376"/>
      <c r="E20" s="376"/>
      <c r="F20" s="377"/>
      <c r="G20" s="139"/>
      <c r="K20" s="156"/>
      <c r="L20" s="160"/>
      <c r="M20" s="160"/>
      <c r="N20" s="157"/>
      <c r="O20" s="158"/>
      <c r="P20" s="157"/>
      <c r="Q20" s="123"/>
      <c r="R20" s="389" t="s">
        <v>94</v>
      </c>
      <c r="S20" s="390"/>
      <c r="T20" s="390"/>
      <c r="U20" s="391"/>
      <c r="V20" s="187">
        <f>IF(ЭКв2=0,S_ЭКв1*(Нт-Нсп),IF(Нсп&lt;=Нгол,S_ЭКв1*(Нгол-Нсп)+S_ЭКв2*(Нт-Нгол),S_ЭКв2*(Нт-Нсп)))</f>
        <v>1.5393804002589986</v>
      </c>
      <c r="W20" s="171" t="s">
        <v>4</v>
      </c>
      <c r="X20" s="174"/>
      <c r="Z20" s="123"/>
      <c r="AA20" s="413" t="s">
        <v>416</v>
      </c>
      <c r="AB20" s="414"/>
      <c r="AC20" s="280">
        <f>IF($V$23&gt;=$G$39,$G$39/$V$23*AE10,AE10)</f>
        <v>16</v>
      </c>
      <c r="AD20" s="280">
        <f>IF($V$23-$AC$21&gt;=$G$39,$G$39/($V$23-$AC$21)*(AE10-AC20),AE10-AC20)</f>
        <v>2.5965069164774057</v>
      </c>
      <c r="AE20" s="280">
        <f>IF($V$23-$AC$21-$AD$21&gt;=$G$39,$G$39/($V$23-$AC$21-$AD$21)*(AE10-AC20-AD20),AE10-AD20-AC20)</f>
        <v>0</v>
      </c>
      <c r="AF20" s="284">
        <f>IF($V$23-$AC$21-$AD$21-$AE$21&gt;=$G$39,$G$39/($V$23-$AC$21-$AD$21-$AE$21)*(AE10-AC20-AD20-AE20),AE10-AC20-AE20-AD20)</f>
        <v>0</v>
      </c>
      <c r="AG20" s="124"/>
      <c r="AL20" s="350">
        <f t="shared" si="1"/>
        <v>1.1599999999999999</v>
      </c>
      <c r="AM20" s="351">
        <f t="shared" si="2"/>
        <v>218.8</v>
      </c>
      <c r="AN20" s="352">
        <f t="shared" si="3"/>
        <v>941.2</v>
      </c>
      <c r="AQ20" s="337">
        <f t="shared" si="4"/>
        <v>1.1599999999999999</v>
      </c>
      <c r="AR20" s="338">
        <f t="shared" si="0"/>
        <v>218.8</v>
      </c>
      <c r="AS20" s="339">
        <f t="shared" si="0"/>
        <v>941.2</v>
      </c>
      <c r="AV20" s="268">
        <v>1.17</v>
      </c>
      <c r="AW20" s="264">
        <v>233.4</v>
      </c>
      <c r="AX20" s="269">
        <v>936.6</v>
      </c>
      <c r="AZ20" s="268">
        <v>1.47</v>
      </c>
      <c r="BA20" s="264">
        <v>717</v>
      </c>
      <c r="BB20" s="269">
        <v>753</v>
      </c>
    </row>
    <row r="21" spans="1:54" ht="16.2" thickBot="1">
      <c r="B21" s="378" t="s">
        <v>113</v>
      </c>
      <c r="C21" s="379"/>
      <c r="D21" s="379"/>
      <c r="E21" s="379"/>
      <c r="F21" s="380"/>
      <c r="G21" s="140"/>
      <c r="K21" s="156"/>
      <c r="L21" s="159"/>
      <c r="M21" s="161"/>
      <c r="N21" s="157"/>
      <c r="O21" s="158"/>
      <c r="P21" s="157"/>
      <c r="Q21" s="123"/>
      <c r="R21" s="389" t="s">
        <v>57</v>
      </c>
      <c r="S21" s="390"/>
      <c r="T21" s="390"/>
      <c r="U21" s="391"/>
      <c r="V21" s="188">
        <f>IF(data!AC59="х",Vзатр+Vнкт,Vнкт+Vзатр+Vзум)</f>
        <v>21.132394223269781</v>
      </c>
      <c r="W21" s="171" t="s">
        <v>4</v>
      </c>
      <c r="X21" s="174"/>
      <c r="Z21" s="123"/>
      <c r="AA21" s="415" t="s">
        <v>417</v>
      </c>
      <c r="AB21" s="416"/>
      <c r="AC21" s="281">
        <f>SUM(AC18:AC20)</f>
        <v>20</v>
      </c>
      <c r="AD21" s="281">
        <f>SUM(AD18:AD20)</f>
        <v>3.2456336455967572</v>
      </c>
      <c r="AE21" s="281">
        <f>SUM(AE18:AE20)</f>
        <v>0</v>
      </c>
      <c r="AF21" s="282">
        <f>SUM(AF18:AF20)</f>
        <v>0</v>
      </c>
      <c r="AG21" s="124"/>
      <c r="AL21" s="350">
        <f t="shared" si="1"/>
        <v>1.17</v>
      </c>
      <c r="AM21" s="351">
        <f t="shared" si="2"/>
        <v>233.4</v>
      </c>
      <c r="AN21" s="352">
        <f t="shared" si="3"/>
        <v>936.6</v>
      </c>
      <c r="AQ21" s="337">
        <f t="shared" si="4"/>
        <v>1.17</v>
      </c>
      <c r="AR21" s="338">
        <f t="shared" si="4"/>
        <v>233.4</v>
      </c>
      <c r="AS21" s="339">
        <f t="shared" si="4"/>
        <v>936.6</v>
      </c>
      <c r="AV21" s="268">
        <v>1.18</v>
      </c>
      <c r="AW21" s="264">
        <v>248</v>
      </c>
      <c r="AX21" s="269">
        <v>932</v>
      </c>
      <c r="AZ21" s="268">
        <v>1.48</v>
      </c>
      <c r="BA21" s="264">
        <v>733</v>
      </c>
      <c r="BB21" s="269">
        <v>747</v>
      </c>
    </row>
    <row r="22" spans="1:54" ht="15.6">
      <c r="K22" s="156"/>
      <c r="L22" s="161"/>
      <c r="M22" s="161"/>
      <c r="N22" s="157"/>
      <c r="O22" s="158"/>
      <c r="P22" s="157"/>
      <c r="Q22" s="123"/>
      <c r="R22" s="389" t="s">
        <v>125</v>
      </c>
      <c r="S22" s="390"/>
      <c r="T22" s="390"/>
      <c r="U22" s="391"/>
      <c r="V22" s="188">
        <f>IF(data!AC59="х",0.1*(Vзатр+Vнкт),(Vнкт+Vзатр+Vзум)*0.1)</f>
        <v>2.1132394223269784</v>
      </c>
      <c r="W22" s="171" t="s">
        <v>4</v>
      </c>
      <c r="X22" s="174"/>
      <c r="Z22" s="176"/>
      <c r="AA22" s="134"/>
      <c r="AB22" s="134"/>
      <c r="AC22" s="134"/>
      <c r="AD22" s="134"/>
      <c r="AE22" s="134"/>
      <c r="AF22" s="216"/>
      <c r="AG22" s="135"/>
      <c r="AL22" s="350">
        <f t="shared" si="1"/>
        <v>1.18</v>
      </c>
      <c r="AM22" s="351">
        <f t="shared" si="2"/>
        <v>248</v>
      </c>
      <c r="AN22" s="352">
        <f t="shared" si="3"/>
        <v>932</v>
      </c>
      <c r="AQ22" s="337">
        <f t="shared" si="4"/>
        <v>1.18</v>
      </c>
      <c r="AR22" s="338">
        <f t="shared" si="4"/>
        <v>248</v>
      </c>
      <c r="AS22" s="339">
        <f t="shared" si="4"/>
        <v>932</v>
      </c>
      <c r="AV22" s="268">
        <v>1.19</v>
      </c>
      <c r="AW22" s="264">
        <v>264.10000000000002</v>
      </c>
      <c r="AX22" s="269">
        <v>925.9</v>
      </c>
      <c r="AZ22" s="268">
        <v>1.49</v>
      </c>
      <c r="BA22" s="264">
        <v>749</v>
      </c>
      <c r="BB22" s="269">
        <v>741</v>
      </c>
    </row>
    <row r="23" spans="1:54" ht="15.75" customHeight="1" thickBot="1">
      <c r="A23" s="371" t="s">
        <v>118</v>
      </c>
      <c r="B23" s="372"/>
      <c r="C23" s="372"/>
      <c r="D23" s="372"/>
      <c r="E23" s="372"/>
      <c r="F23" s="372"/>
      <c r="G23" s="372"/>
      <c r="H23" s="373"/>
      <c r="K23" s="156"/>
      <c r="L23" s="156"/>
      <c r="M23" s="156"/>
      <c r="N23" s="157"/>
      <c r="O23" s="158"/>
      <c r="P23" s="157"/>
      <c r="Q23" s="123"/>
      <c r="R23" s="393" t="s">
        <v>63</v>
      </c>
      <c r="S23" s="394"/>
      <c r="T23" s="394"/>
      <c r="U23" s="395"/>
      <c r="V23" s="297">
        <f>SUM(V21:V22)</f>
        <v>23.245633645596758</v>
      </c>
      <c r="W23" s="173" t="s">
        <v>4</v>
      </c>
      <c r="X23" s="175"/>
      <c r="AL23" s="350">
        <f t="shared" si="1"/>
        <v>1.19</v>
      </c>
      <c r="AM23" s="351">
        <f t="shared" si="2"/>
        <v>264.10000000000002</v>
      </c>
      <c r="AN23" s="352">
        <f t="shared" si="3"/>
        <v>925.9</v>
      </c>
      <c r="AQ23" s="337">
        <f t="shared" si="4"/>
        <v>1.19</v>
      </c>
      <c r="AR23" s="338">
        <f t="shared" si="4"/>
        <v>264.10000000000002</v>
      </c>
      <c r="AS23" s="339">
        <f t="shared" si="4"/>
        <v>925.9</v>
      </c>
      <c r="AV23" s="268">
        <v>1.2</v>
      </c>
      <c r="AW23" s="264">
        <v>277.2</v>
      </c>
      <c r="AX23" s="269">
        <v>922.8</v>
      </c>
      <c r="AZ23" s="268">
        <v>1.5</v>
      </c>
      <c r="BA23" s="264">
        <v>764</v>
      </c>
      <c r="BB23" s="269">
        <v>736</v>
      </c>
    </row>
    <row r="24" spans="1:54" ht="15.75" customHeight="1" thickBot="1">
      <c r="K24" s="156"/>
      <c r="L24" s="161"/>
      <c r="M24" s="161"/>
      <c r="N24" s="157"/>
      <c r="O24" s="158"/>
      <c r="P24" s="157"/>
      <c r="Q24" s="123"/>
      <c r="R24" s="164"/>
      <c r="S24" s="286"/>
      <c r="T24" s="286"/>
      <c r="U24" s="165"/>
      <c r="V24" s="167"/>
      <c r="W24" s="217"/>
      <c r="X24" s="175"/>
      <c r="AL24" s="350">
        <f t="shared" si="1"/>
        <v>1.2</v>
      </c>
      <c r="AM24" s="351">
        <f t="shared" si="2"/>
        <v>277.2</v>
      </c>
      <c r="AN24" s="352">
        <f t="shared" si="3"/>
        <v>922.8</v>
      </c>
      <c r="AQ24" s="337">
        <f t="shared" si="4"/>
        <v>1.2</v>
      </c>
      <c r="AR24" s="338">
        <f t="shared" si="4"/>
        <v>277.2</v>
      </c>
      <c r="AS24" s="339">
        <f t="shared" si="4"/>
        <v>922.8</v>
      </c>
      <c r="AV24" s="268">
        <v>1.21</v>
      </c>
      <c r="AW24" s="264">
        <v>291.8</v>
      </c>
      <c r="AX24" s="269">
        <v>918.2</v>
      </c>
      <c r="AZ24" s="268">
        <v>1.51</v>
      </c>
      <c r="BA24" s="264">
        <v>780</v>
      </c>
      <c r="BB24" s="269">
        <v>730</v>
      </c>
    </row>
    <row r="25" spans="1:54" ht="16.2" customHeight="1" thickBot="1">
      <c r="E25" s="181" t="s">
        <v>116</v>
      </c>
      <c r="F25" s="182" t="s">
        <v>120</v>
      </c>
      <c r="G25" s="183" t="s">
        <v>119</v>
      </c>
      <c r="K25" s="156"/>
      <c r="L25" s="161"/>
      <c r="M25" s="158"/>
      <c r="N25" s="157"/>
      <c r="O25" s="158"/>
      <c r="P25" s="157"/>
      <c r="Q25" s="371" t="s">
        <v>141</v>
      </c>
      <c r="R25" s="372"/>
      <c r="S25" s="372"/>
      <c r="T25" s="372"/>
      <c r="U25" s="372"/>
      <c r="V25" s="372"/>
      <c r="W25" s="372"/>
      <c r="X25" s="373"/>
      <c r="Z25" s="386" t="s">
        <v>470</v>
      </c>
      <c r="AA25" s="387"/>
      <c r="AB25" s="387"/>
      <c r="AC25" s="387"/>
      <c r="AD25" s="387"/>
      <c r="AE25" s="387"/>
      <c r="AF25" s="387"/>
      <c r="AG25" s="388"/>
      <c r="AL25" s="350">
        <f t="shared" si="1"/>
        <v>1.21</v>
      </c>
      <c r="AM25" s="351">
        <f t="shared" si="2"/>
        <v>291.8</v>
      </c>
      <c r="AN25" s="352">
        <f t="shared" si="3"/>
        <v>918.2</v>
      </c>
      <c r="AQ25" s="337">
        <f t="shared" si="4"/>
        <v>1.21</v>
      </c>
      <c r="AR25" s="338">
        <f t="shared" si="4"/>
        <v>291.8</v>
      </c>
      <c r="AS25" s="339">
        <f t="shared" si="4"/>
        <v>918.2</v>
      </c>
      <c r="AV25" s="268">
        <v>1.22</v>
      </c>
      <c r="AW25" s="264">
        <v>306.39999999999998</v>
      </c>
      <c r="AX25" s="269">
        <v>913.6</v>
      </c>
      <c r="AZ25" s="268">
        <v>1.52</v>
      </c>
      <c r="BA25" s="264">
        <v>796</v>
      </c>
      <c r="BB25" s="269">
        <v>724</v>
      </c>
    </row>
    <row r="26" spans="1:54" ht="16.2" thickBot="1">
      <c r="B26" s="126" t="s">
        <v>112</v>
      </c>
      <c r="C26" s="127"/>
      <c r="D26" s="127"/>
      <c r="E26" s="141"/>
      <c r="F26" s="141"/>
      <c r="G26" s="138">
        <v>75</v>
      </c>
      <c r="K26" s="392"/>
      <c r="L26" s="392"/>
      <c r="M26" s="392"/>
      <c r="N26" s="157"/>
      <c r="O26" s="158"/>
      <c r="P26" s="157"/>
      <c r="Q26" s="123"/>
      <c r="R26" s="164"/>
      <c r="S26" s="286"/>
      <c r="T26" s="286"/>
      <c r="U26" s="165"/>
      <c r="V26" s="167"/>
      <c r="W26" s="217"/>
      <c r="X26" s="175"/>
      <c r="Z26" s="123"/>
      <c r="AA26" s="204"/>
      <c r="AB26" s="204"/>
      <c r="AC26" s="204"/>
      <c r="AD26" s="204"/>
      <c r="AE26" s="204"/>
      <c r="AF26" s="212"/>
      <c r="AG26" s="124"/>
      <c r="AL26" s="350">
        <f t="shared" si="1"/>
        <v>1.22</v>
      </c>
      <c r="AM26" s="351">
        <f t="shared" si="2"/>
        <v>306.39999999999998</v>
      </c>
      <c r="AN26" s="352">
        <f t="shared" si="3"/>
        <v>913.6</v>
      </c>
      <c r="AQ26" s="337">
        <f t="shared" si="4"/>
        <v>1.22</v>
      </c>
      <c r="AR26" s="338">
        <f t="shared" si="4"/>
        <v>306.39999999999998</v>
      </c>
      <c r="AS26" s="339">
        <f t="shared" si="4"/>
        <v>913.6</v>
      </c>
      <c r="AV26" s="268">
        <v>1.23</v>
      </c>
      <c r="AW26" s="264">
        <v>321.10000000000002</v>
      </c>
      <c r="AX26" s="269">
        <v>908.9</v>
      </c>
      <c r="AZ26" s="268">
        <v>1.53</v>
      </c>
      <c r="BA26" s="264">
        <v>811</v>
      </c>
      <c r="BB26" s="269">
        <v>719</v>
      </c>
    </row>
    <row r="27" spans="1:54" ht="16.2" customHeight="1">
      <c r="B27" s="128" t="s">
        <v>114</v>
      </c>
      <c r="C27" s="129"/>
      <c r="D27" s="129"/>
      <c r="E27" s="142"/>
      <c r="F27" s="142"/>
      <c r="G27" s="139">
        <v>62</v>
      </c>
      <c r="K27" s="392"/>
      <c r="L27" s="392"/>
      <c r="M27" s="392"/>
      <c r="N27" s="157"/>
      <c r="O27" s="158"/>
      <c r="P27" s="157"/>
      <c r="Q27" s="123"/>
      <c r="R27" s="429" t="s">
        <v>75</v>
      </c>
      <c r="S27" s="430"/>
      <c r="T27" s="430"/>
      <c r="U27" s="430"/>
      <c r="V27" s="303">
        <f>Рпл*100/(9.81*G12)</f>
        <v>1.09217999126256</v>
      </c>
      <c r="W27" s="304" t="s">
        <v>11</v>
      </c>
      <c r="X27" s="174"/>
      <c r="Z27" s="123"/>
      <c r="AA27" s="321"/>
      <c r="AB27" s="321" t="s">
        <v>471</v>
      </c>
      <c r="AC27" s="322"/>
      <c r="AD27" s="321" t="s">
        <v>433</v>
      </c>
      <c r="AE27" s="321"/>
      <c r="AF27" s="321"/>
      <c r="AG27" s="197"/>
      <c r="AL27" s="350">
        <f t="shared" si="1"/>
        <v>1.23</v>
      </c>
      <c r="AM27" s="351">
        <f t="shared" si="2"/>
        <v>321.10000000000002</v>
      </c>
      <c r="AN27" s="352">
        <f t="shared" si="3"/>
        <v>908.9</v>
      </c>
      <c r="AQ27" s="337">
        <f t="shared" si="4"/>
        <v>1.23</v>
      </c>
      <c r="AR27" s="338">
        <f t="shared" si="4"/>
        <v>321.10000000000002</v>
      </c>
      <c r="AS27" s="339">
        <f t="shared" si="4"/>
        <v>908.9</v>
      </c>
      <c r="AV27" s="268">
        <v>1.24</v>
      </c>
      <c r="AW27" s="264">
        <v>332.9</v>
      </c>
      <c r="AX27" s="269">
        <v>907.1</v>
      </c>
      <c r="AZ27" s="268">
        <v>1.54</v>
      </c>
      <c r="BA27" s="264">
        <v>827</v>
      </c>
      <c r="BB27" s="269">
        <v>713</v>
      </c>
    </row>
    <row r="28" spans="1:54" ht="16.2" customHeight="1" thickBot="1">
      <c r="B28" s="130" t="s">
        <v>115</v>
      </c>
      <c r="C28" s="131"/>
      <c r="D28" s="131"/>
      <c r="E28" s="143"/>
      <c r="F28" s="143"/>
      <c r="G28" s="140">
        <v>1400</v>
      </c>
      <c r="K28" s="392"/>
      <c r="L28" s="392"/>
      <c r="M28" s="392"/>
      <c r="N28" s="170" t="s">
        <v>109</v>
      </c>
      <c r="O28" s="194">
        <f>Нт</f>
        <v>1500</v>
      </c>
      <c r="P28" s="157"/>
      <c r="Q28" s="123"/>
      <c r="R28" s="389" t="s">
        <v>60</v>
      </c>
      <c r="S28" s="390"/>
      <c r="T28" s="390"/>
      <c r="U28" s="391"/>
      <c r="V28" s="188">
        <f>IF(BHK&gt;=1200,IF(Рпл*5%&gt;=25,25,Рпл*5%),IF(Рпл*10%&gt;=15,15,Рпл*10%))</f>
        <v>7.5</v>
      </c>
      <c r="W28" s="171" t="s">
        <v>7</v>
      </c>
      <c r="X28" s="174"/>
      <c r="Z28" s="123"/>
      <c r="AA28" s="321"/>
      <c r="AB28" s="321" t="s">
        <v>472</v>
      </c>
      <c r="AC28" s="322"/>
      <c r="AD28" s="321" t="s">
        <v>433</v>
      </c>
      <c r="AE28" s="321"/>
      <c r="AF28" s="321"/>
      <c r="AG28" s="197"/>
      <c r="AL28" s="350">
        <f t="shared" si="1"/>
        <v>1.24</v>
      </c>
      <c r="AM28" s="351">
        <f t="shared" si="2"/>
        <v>332.9</v>
      </c>
      <c r="AN28" s="352">
        <f t="shared" si="3"/>
        <v>907.1</v>
      </c>
      <c r="AQ28" s="337">
        <f t="shared" si="4"/>
        <v>1.24</v>
      </c>
      <c r="AR28" s="338">
        <f t="shared" si="4"/>
        <v>332.9</v>
      </c>
      <c r="AS28" s="339">
        <f t="shared" si="4"/>
        <v>907.1</v>
      </c>
      <c r="AV28" s="268">
        <v>1.25</v>
      </c>
      <c r="AW28" s="264">
        <v>351</v>
      </c>
      <c r="AX28" s="269">
        <v>899</v>
      </c>
      <c r="AZ28" s="268">
        <v>1.55</v>
      </c>
      <c r="BA28" s="264">
        <v>845</v>
      </c>
      <c r="BB28" s="269">
        <v>705</v>
      </c>
    </row>
    <row r="29" spans="1:54" ht="16.2" customHeight="1">
      <c r="K29" s="156"/>
      <c r="L29" s="156"/>
      <c r="M29" s="156"/>
      <c r="N29" s="170"/>
      <c r="O29" s="194"/>
      <c r="P29" s="157"/>
      <c r="Q29" s="123"/>
      <c r="R29" s="389" t="s">
        <v>76</v>
      </c>
      <c r="S29" s="390"/>
      <c r="T29" s="390"/>
      <c r="U29" s="391"/>
      <c r="V29" s="188">
        <f>(Рпл+Запас)*100/(9.81*G12)</f>
        <v>1.1467889908256881</v>
      </c>
      <c r="W29" s="171" t="s">
        <v>11</v>
      </c>
      <c r="X29" s="174"/>
      <c r="Z29" s="123"/>
      <c r="AA29" s="321"/>
      <c r="AB29" s="321"/>
      <c r="AC29" s="321"/>
      <c r="AD29" s="321"/>
      <c r="AE29" s="321"/>
      <c r="AF29" s="321"/>
      <c r="AG29" s="197"/>
      <c r="AL29" s="350">
        <f t="shared" si="1"/>
        <v>1.25</v>
      </c>
      <c r="AM29" s="351">
        <f t="shared" si="2"/>
        <v>351</v>
      </c>
      <c r="AN29" s="352">
        <f t="shared" si="3"/>
        <v>899</v>
      </c>
      <c r="AQ29" s="337">
        <f>IF($AS$2=$AX$2,AV28,IF($AS$2=$BB$2,AZ28,IF($AS$2=$BG$2,BE28,"")))</f>
        <v>1.25</v>
      </c>
      <c r="AR29" s="338">
        <f>IF($AS$2=$AX$2,AW28,IF($AS$2=$BB$2,BA28,IF($AS$2=$BG$2,BF28,"")))</f>
        <v>351</v>
      </c>
      <c r="AS29" s="339">
        <f>IF($AS$2=$AX$2,AX28,IF($AS$2=$BB$2,BB28,IF($AS$2=$BG$2,BG28,"")))</f>
        <v>899</v>
      </c>
      <c r="AV29" s="268">
        <v>1.26</v>
      </c>
      <c r="AW29" s="264">
        <v>366.4</v>
      </c>
      <c r="AX29" s="269">
        <v>893.6</v>
      </c>
      <c r="AZ29" s="268">
        <v>1.56</v>
      </c>
      <c r="BA29" s="264">
        <v>862</v>
      </c>
      <c r="BB29" s="269">
        <v>698</v>
      </c>
    </row>
    <row r="30" spans="1:54" ht="13.5" customHeight="1">
      <c r="A30" s="371" t="s">
        <v>83</v>
      </c>
      <c r="B30" s="372"/>
      <c r="C30" s="372"/>
      <c r="D30" s="372"/>
      <c r="E30" s="372"/>
      <c r="F30" s="372"/>
      <c r="G30" s="372"/>
      <c r="H30" s="373"/>
      <c r="K30" s="156"/>
      <c r="L30" s="160"/>
      <c r="M30" s="160"/>
      <c r="N30" s="170"/>
      <c r="O30" s="194"/>
      <c r="P30" s="157"/>
      <c r="Q30" s="123"/>
      <c r="R30" s="389" t="s">
        <v>46</v>
      </c>
      <c r="S30" s="390"/>
      <c r="T30" s="390"/>
      <c r="U30" s="391"/>
      <c r="V30" s="287">
        <f>CEILING(IF(Vзатр/расход&gt;=(Нт-Нсп)/2.4,1,Vгл/(Vнкт+Vзатр)),1)</f>
        <v>1</v>
      </c>
      <c r="W30" s="171"/>
      <c r="X30" s="174"/>
      <c r="Z30" s="123"/>
      <c r="AA30" s="321"/>
      <c r="AB30" s="321"/>
      <c r="AC30" s="321"/>
      <c r="AD30" s="321"/>
      <c r="AE30" s="321"/>
      <c r="AF30" s="321"/>
      <c r="AG30" s="197"/>
      <c r="AL30" s="350">
        <f t="shared" si="1"/>
        <v>1.26</v>
      </c>
      <c r="AM30" s="351">
        <f t="shared" si="2"/>
        <v>366.4</v>
      </c>
      <c r="AN30" s="352">
        <f t="shared" si="3"/>
        <v>893.6</v>
      </c>
      <c r="AQ30" s="337">
        <f t="shared" si="4"/>
        <v>1.26</v>
      </c>
      <c r="AR30" s="338">
        <f t="shared" si="4"/>
        <v>366.4</v>
      </c>
      <c r="AS30" s="339">
        <f t="shared" si="4"/>
        <v>893.6</v>
      </c>
      <c r="AV30" s="268">
        <v>1.27</v>
      </c>
      <c r="AW30" s="264">
        <v>382</v>
      </c>
      <c r="AX30" s="269">
        <v>888</v>
      </c>
      <c r="AZ30" s="268">
        <v>1.57</v>
      </c>
      <c r="BA30" s="264">
        <v>880</v>
      </c>
      <c r="BB30" s="269">
        <v>690</v>
      </c>
    </row>
    <row r="31" spans="1:54" ht="16.2" thickBot="1">
      <c r="A31" s="133"/>
      <c r="B31" s="133"/>
      <c r="C31" s="133"/>
      <c r="D31" s="133"/>
      <c r="E31" s="133"/>
      <c r="F31" s="133"/>
      <c r="G31" s="133"/>
      <c r="H31" s="124"/>
      <c r="K31" s="156"/>
      <c r="L31" s="161"/>
      <c r="M31" s="161"/>
      <c r="P31" s="157"/>
      <c r="Q31" s="123"/>
      <c r="R31" s="363" t="s">
        <v>440</v>
      </c>
      <c r="S31" s="364"/>
      <c r="T31" s="364"/>
      <c r="U31" s="365"/>
      <c r="V31" s="295" t="str">
        <f>IF(AE11=1,AI7,IF(AE11&lt;=1.3,AI4,AI5))</f>
        <v>CaCl</v>
      </c>
      <c r="W31" s="296"/>
      <c r="X31" s="174"/>
      <c r="Z31" s="123"/>
      <c r="AA31" s="321"/>
      <c r="AB31" s="321"/>
      <c r="AC31" s="321"/>
      <c r="AD31" s="321"/>
      <c r="AE31" s="321"/>
      <c r="AF31" s="321"/>
      <c r="AG31" s="197"/>
      <c r="AL31" s="350">
        <f t="shared" si="1"/>
        <v>1.27</v>
      </c>
      <c r="AM31" s="351">
        <f t="shared" si="2"/>
        <v>382</v>
      </c>
      <c r="AN31" s="352">
        <f t="shared" si="3"/>
        <v>888</v>
      </c>
      <c r="AQ31" s="337">
        <f t="shared" ref="AQ31:AS33" si="7">IF($AS$2=$AX$2,AV30,IF($AS$2=$BB$2,AZ30,IF($AS$2=$BG$2,BE30,"")))</f>
        <v>1.27</v>
      </c>
      <c r="AR31" s="338">
        <f t="shared" si="7"/>
        <v>382</v>
      </c>
      <c r="AS31" s="339">
        <f t="shared" si="7"/>
        <v>888</v>
      </c>
      <c r="AV31" s="268">
        <v>1.28</v>
      </c>
      <c r="AW31" s="264">
        <v>398</v>
      </c>
      <c r="AX31" s="269">
        <v>882</v>
      </c>
      <c r="AZ31" s="268">
        <v>1.58</v>
      </c>
      <c r="BA31" s="264">
        <v>898</v>
      </c>
      <c r="BB31" s="269">
        <v>682</v>
      </c>
    </row>
    <row r="32" spans="1:54" ht="15.6">
      <c r="A32" s="133"/>
      <c r="B32" s="368" t="s">
        <v>121</v>
      </c>
      <c r="C32" s="369"/>
      <c r="D32" s="369"/>
      <c r="E32" s="369"/>
      <c r="F32" s="370"/>
      <c r="G32" s="138"/>
      <c r="H32" s="124"/>
      <c r="K32" s="156"/>
      <c r="L32" s="156"/>
      <c r="M32" s="156"/>
      <c r="N32" s="157"/>
      <c r="O32" s="158"/>
      <c r="P32" s="157"/>
      <c r="Q32" s="123"/>
      <c r="R32" s="363" t="s">
        <v>441</v>
      </c>
      <c r="S32" s="364"/>
      <c r="T32" s="364"/>
      <c r="U32" s="365"/>
      <c r="V32" s="295">
        <f>IF(AE11=1,0,IF(AE11&gt;=1.31,VLOOKUP(ROUND(AE11,2),$AZ$3:$BB$33,2,1),VLOOKUP(ROUND(AE11,2),$AV$3:$AX$33,2,1)))</f>
        <v>306.39999999999998</v>
      </c>
      <c r="W32" s="296" t="s">
        <v>433</v>
      </c>
      <c r="X32" s="174"/>
      <c r="Z32" s="123"/>
      <c r="AA32" s="321"/>
      <c r="AB32" s="321"/>
      <c r="AC32" s="321"/>
      <c r="AD32" s="321"/>
      <c r="AE32" s="321"/>
      <c r="AF32" s="321"/>
      <c r="AG32" s="197"/>
      <c r="AL32" s="350">
        <f t="shared" si="1"/>
        <v>1.28</v>
      </c>
      <c r="AM32" s="351">
        <f>IF(AR32=0,"",AR32)</f>
        <v>398</v>
      </c>
      <c r="AN32" s="352">
        <f t="shared" si="3"/>
        <v>882</v>
      </c>
      <c r="AQ32" s="337">
        <f t="shared" si="7"/>
        <v>1.28</v>
      </c>
      <c r="AR32" s="338">
        <f t="shared" si="7"/>
        <v>398</v>
      </c>
      <c r="AS32" s="339">
        <f t="shared" si="7"/>
        <v>882</v>
      </c>
      <c r="AV32" s="268">
        <v>1.29</v>
      </c>
      <c r="AW32" s="264">
        <v>407.8</v>
      </c>
      <c r="AX32" s="269">
        <v>882.2</v>
      </c>
      <c r="AZ32" s="268">
        <v>1.59</v>
      </c>
      <c r="BA32" s="264">
        <v>915</v>
      </c>
      <c r="BB32" s="269">
        <v>675</v>
      </c>
    </row>
    <row r="33" spans="1:54" ht="16.2" thickBot="1">
      <c r="A33" s="133"/>
      <c r="B33" s="354" t="s">
        <v>122</v>
      </c>
      <c r="C33" s="355"/>
      <c r="D33" s="355"/>
      <c r="E33" s="355"/>
      <c r="F33" s="356"/>
      <c r="G33" s="139"/>
      <c r="H33" s="124"/>
      <c r="K33" s="156"/>
      <c r="L33" s="160"/>
      <c r="M33" s="160"/>
      <c r="N33" s="170" t="s">
        <v>131</v>
      </c>
      <c r="O33" s="194">
        <f>qqw</f>
        <v>1500</v>
      </c>
      <c r="P33" s="157"/>
      <c r="Q33" s="123"/>
      <c r="R33" s="363" t="s">
        <v>442</v>
      </c>
      <c r="S33" s="364"/>
      <c r="T33" s="364"/>
      <c r="U33" s="365"/>
      <c r="V33" s="295">
        <f>IF(AE11=1,расход,IF(AE11&gt;=1.31,VLOOKUP(ROUND(AE11,2),$AZ$3:$BB$33,3,1),VLOOKUP(ROUND(AE11,2),$AV$3:$AX$33,3,1)))</f>
        <v>913.6</v>
      </c>
      <c r="W33" s="173" t="str">
        <f>IF(AE11=1,"м3/мин","л/м3")</f>
        <v>л/м3</v>
      </c>
      <c r="X33" s="174"/>
      <c r="Z33" s="123"/>
      <c r="AA33" s="321"/>
      <c r="AB33" s="321"/>
      <c r="AC33" s="321"/>
      <c r="AD33" s="321"/>
      <c r="AE33" s="321"/>
      <c r="AF33" s="321"/>
      <c r="AG33" s="197"/>
      <c r="AL33" s="350">
        <f t="shared" si="1"/>
        <v>1.29</v>
      </c>
      <c r="AM33" s="351">
        <f t="shared" si="2"/>
        <v>407.8</v>
      </c>
      <c r="AN33" s="352">
        <f t="shared" si="3"/>
        <v>882.2</v>
      </c>
      <c r="AQ33" s="337">
        <f t="shared" si="7"/>
        <v>1.29</v>
      </c>
      <c r="AR33" s="338">
        <f t="shared" si="7"/>
        <v>407.8</v>
      </c>
      <c r="AS33" s="339">
        <f t="shared" si="7"/>
        <v>882.2</v>
      </c>
      <c r="AV33" s="270">
        <v>1.3</v>
      </c>
      <c r="AW33" s="271">
        <v>430.7</v>
      </c>
      <c r="AX33" s="272">
        <v>869.3</v>
      </c>
      <c r="AZ33" s="270">
        <v>1.6</v>
      </c>
      <c r="BA33" s="271">
        <v>933</v>
      </c>
      <c r="BB33" s="272">
        <v>667</v>
      </c>
    </row>
    <row r="34" spans="1:54" ht="16.2" thickBot="1">
      <c r="A34" s="133"/>
      <c r="B34" s="378" t="s">
        <v>123</v>
      </c>
      <c r="C34" s="381"/>
      <c r="D34" s="381"/>
      <c r="E34" s="381"/>
      <c r="F34" s="382"/>
      <c r="G34" s="140"/>
      <c r="H34" s="124"/>
      <c r="K34" s="156"/>
      <c r="L34" s="161"/>
      <c r="M34" s="161"/>
      <c r="N34" s="157"/>
      <c r="O34" s="158"/>
      <c r="P34" s="157"/>
      <c r="Q34" s="123"/>
      <c r="R34" s="401" t="s">
        <v>443</v>
      </c>
      <c r="S34" s="402"/>
      <c r="T34" s="402"/>
      <c r="U34" s="403"/>
      <c r="V34" s="293" t="str">
        <f>V31</f>
        <v>CaCl</v>
      </c>
      <c r="W34" s="294"/>
      <c r="X34" s="124"/>
      <c r="Z34" s="123"/>
      <c r="AA34" s="321"/>
      <c r="AB34" s="321"/>
      <c r="AC34" s="321"/>
      <c r="AD34" s="321"/>
      <c r="AE34" s="321"/>
      <c r="AF34" s="321"/>
      <c r="AG34" s="197"/>
    </row>
    <row r="35" spans="1:54" ht="15.6">
      <c r="A35" s="133"/>
      <c r="B35" s="133"/>
      <c r="C35" s="133"/>
      <c r="D35" s="133"/>
      <c r="E35" s="133"/>
      <c r="F35" s="133"/>
      <c r="G35" s="133"/>
      <c r="H35" s="124"/>
      <c r="K35" s="163"/>
      <c r="L35" s="161"/>
      <c r="M35" s="161"/>
      <c r="N35" s="157"/>
      <c r="O35" s="158"/>
      <c r="P35" s="157"/>
      <c r="Q35" s="123"/>
      <c r="R35" s="389" t="s">
        <v>434</v>
      </c>
      <c r="S35" s="390"/>
      <c r="T35" s="390"/>
      <c r="U35" s="391"/>
      <c r="V35" s="188">
        <f>IF(V34=AI4,VLOOKUP(ROUND(AE11,2),$AV$3:$AX$33,2,1),IF(V34=AI5,VLOOKUP(ROUND(AE11,2),$AZ$4:$BB$33,2,1),IF(V34=AI6,VLOOKUP(ROUND(AE11,2),$BE$3:$BG$16,2,1),IF(V34=AI7,0,"Ошибка! - Солевой раствор не подходит"))))</f>
        <v>306.39999999999998</v>
      </c>
      <c r="W35" s="171" t="s">
        <v>433</v>
      </c>
      <c r="X35" s="124"/>
      <c r="Z35" s="123"/>
      <c r="AA35" s="321"/>
      <c r="AB35" s="321"/>
      <c r="AC35" s="321"/>
      <c r="AD35" s="321"/>
      <c r="AE35" s="321"/>
      <c r="AF35" s="321"/>
      <c r="AG35" s="197"/>
    </row>
    <row r="36" spans="1:54" s="133" customFormat="1" ht="16.2" thickBot="1">
      <c r="H36" s="124"/>
      <c r="K36" s="163"/>
      <c r="L36" s="161"/>
      <c r="M36" s="161"/>
      <c r="N36" s="157"/>
      <c r="O36" s="158"/>
      <c r="P36" s="157"/>
      <c r="Q36" s="123"/>
      <c r="R36" s="393" t="s">
        <v>435</v>
      </c>
      <c r="S36" s="394"/>
      <c r="T36" s="394"/>
      <c r="U36" s="395"/>
      <c r="V36" s="266">
        <f>IF(V34="CaCl",VLOOKUP(ROUND(AE11,2),$AV$3:$AX$33,3,1),IF(V34="CaЖГ",VLOOKUP(ROUND(AE11,2),$AZ$4:$BB$33,3,1),IF(V34="KCl",VLOOKUP(ROUND(AE11,2),$BE$3:$BG$16,3,1),IF(V34=AI7,расход,"Ошибка! - Солевой раствор не подходит"))))</f>
        <v>913.6</v>
      </c>
      <c r="W36" s="173" t="str">
        <f>IF(V34=AI7,"м3/мин","л/м3")</f>
        <v>л/м3</v>
      </c>
      <c r="X36" s="124"/>
      <c r="Z36" s="123"/>
      <c r="AA36" s="321"/>
      <c r="AB36" s="321"/>
      <c r="AC36" s="321"/>
      <c r="AD36" s="321"/>
      <c r="AE36" s="321"/>
      <c r="AF36" s="321"/>
      <c r="AG36" s="197"/>
      <c r="AQ36" s="116"/>
      <c r="AR36" s="116"/>
      <c r="AS36" s="116"/>
    </row>
    <row r="37" spans="1:54" ht="15.6">
      <c r="A37" s="371" t="s">
        <v>406</v>
      </c>
      <c r="B37" s="372"/>
      <c r="C37" s="372"/>
      <c r="D37" s="372"/>
      <c r="E37" s="372"/>
      <c r="F37" s="372"/>
      <c r="G37" s="372"/>
      <c r="H37" s="373"/>
      <c r="K37" s="163"/>
      <c r="L37" s="161"/>
      <c r="M37" s="161"/>
      <c r="N37" s="157"/>
      <c r="O37" s="158"/>
      <c r="P37" s="157"/>
      <c r="Q37" s="123"/>
      <c r="R37" s="288"/>
      <c r="S37" s="288"/>
      <c r="T37" s="288"/>
      <c r="U37" s="288"/>
      <c r="V37" s="289"/>
      <c r="W37" s="290"/>
      <c r="X37" s="124"/>
      <c r="Z37" s="123"/>
      <c r="AA37" s="321"/>
      <c r="AB37" s="321"/>
      <c r="AC37" s="321"/>
      <c r="AD37" s="321"/>
      <c r="AE37" s="321"/>
      <c r="AF37" s="321"/>
      <c r="AG37" s="197"/>
    </row>
    <row r="38" spans="1:54" ht="16.2" thickBot="1">
      <c r="A38" s="133"/>
      <c r="B38" s="404"/>
      <c r="C38" s="404"/>
      <c r="D38" s="404"/>
      <c r="E38" s="404"/>
      <c r="F38" s="404"/>
      <c r="G38" s="133"/>
      <c r="H38" s="133"/>
      <c r="K38" s="163"/>
      <c r="L38" s="161"/>
      <c r="M38" s="161"/>
      <c r="N38" s="157"/>
      <c r="O38" s="158"/>
      <c r="P38" s="157"/>
      <c r="Q38" s="123"/>
      <c r="R38" s="288"/>
      <c r="S38" s="288"/>
      <c r="T38" s="288"/>
      <c r="U38" s="288"/>
      <c r="V38" s="289"/>
      <c r="W38" s="290"/>
      <c r="X38" s="124"/>
      <c r="Z38" s="123"/>
      <c r="AA38" s="405"/>
      <c r="AB38" s="405"/>
      <c r="AC38" s="283"/>
      <c r="AD38" s="283"/>
      <c r="AE38" s="283"/>
      <c r="AF38" s="283"/>
      <c r="AG38" s="124"/>
    </row>
    <row r="39" spans="1:54" ht="15.6">
      <c r="A39" s="133"/>
      <c r="B39" s="368" t="s">
        <v>405</v>
      </c>
      <c r="C39" s="369"/>
      <c r="D39" s="369"/>
      <c r="E39" s="369"/>
      <c r="F39" s="370"/>
      <c r="G39" s="138">
        <v>20</v>
      </c>
      <c r="H39" s="133"/>
      <c r="K39" s="163"/>
      <c r="L39" s="161"/>
      <c r="M39" s="161"/>
      <c r="N39" s="157"/>
      <c r="O39" s="158"/>
      <c r="P39" s="157"/>
      <c r="Q39" s="123"/>
      <c r="R39" s="288"/>
      <c r="S39" s="288"/>
      <c r="T39" s="288"/>
      <c r="U39" s="288"/>
      <c r="V39" s="289"/>
      <c r="W39" s="290"/>
      <c r="X39" s="124"/>
      <c r="Z39" s="123"/>
      <c r="AA39" s="320"/>
      <c r="AB39" s="320"/>
      <c r="AC39" s="283"/>
      <c r="AD39" s="283"/>
      <c r="AE39" s="283"/>
      <c r="AF39" s="283"/>
      <c r="AG39" s="124"/>
    </row>
    <row r="40" spans="1:54" ht="15.6">
      <c r="A40" s="133"/>
      <c r="B40" s="354" t="s">
        <v>411</v>
      </c>
      <c r="C40" s="355"/>
      <c r="D40" s="355"/>
      <c r="E40" s="355"/>
      <c r="F40" s="356"/>
      <c r="G40" s="263">
        <v>0.22600000000000001</v>
      </c>
      <c r="H40" s="133"/>
      <c r="K40" s="163"/>
      <c r="L40" s="161"/>
      <c r="M40" s="161"/>
      <c r="N40" s="157"/>
      <c r="O40" s="158"/>
      <c r="P40" s="157"/>
      <c r="Q40" s="123"/>
      <c r="R40" s="288"/>
      <c r="S40" s="288"/>
      <c r="T40" s="288"/>
      <c r="U40" s="288"/>
      <c r="V40" s="289"/>
      <c r="W40" s="290"/>
      <c r="X40" s="124"/>
      <c r="Z40" s="123"/>
      <c r="AA40" s="320"/>
      <c r="AB40" s="320"/>
      <c r="AC40" s="283"/>
      <c r="AD40" s="283"/>
      <c r="AE40" s="283"/>
      <c r="AF40" s="283"/>
      <c r="AG40" s="124"/>
    </row>
    <row r="41" spans="1:54" ht="15.6">
      <c r="A41" s="133"/>
      <c r="B41" s="258" t="s">
        <v>407</v>
      </c>
      <c r="C41" s="259"/>
      <c r="D41" s="259"/>
      <c r="E41" s="259"/>
      <c r="F41" s="260"/>
      <c r="G41" s="257">
        <v>0.88</v>
      </c>
      <c r="H41" s="133"/>
      <c r="K41" s="163"/>
      <c r="L41" s="161"/>
      <c r="M41" s="161"/>
      <c r="N41" s="157"/>
      <c r="O41" s="158"/>
      <c r="P41" s="157"/>
      <c r="Q41" s="123"/>
      <c r="R41" s="288"/>
      <c r="S41" s="288"/>
      <c r="T41" s="288"/>
      <c r="U41" s="288"/>
      <c r="V41" s="289"/>
      <c r="W41" s="290"/>
      <c r="X41" s="124"/>
      <c r="Z41" s="123"/>
      <c r="AA41" s="320"/>
      <c r="AB41" s="320"/>
      <c r="AC41" s="283"/>
      <c r="AD41" s="283"/>
      <c r="AE41" s="283"/>
      <c r="AF41" s="283"/>
      <c r="AG41" s="124"/>
    </row>
    <row r="42" spans="1:54" ht="15.6">
      <c r="A42" s="133"/>
      <c r="B42" s="258" t="s">
        <v>408</v>
      </c>
      <c r="C42" s="259"/>
      <c r="D42" s="259"/>
      <c r="E42" s="259"/>
      <c r="F42" s="260"/>
      <c r="G42" s="257">
        <v>0.16</v>
      </c>
      <c r="H42" s="133"/>
      <c r="K42" s="163"/>
      <c r="L42" s="161"/>
      <c r="M42" s="161"/>
      <c r="N42" s="157"/>
      <c r="O42" s="158"/>
      <c r="P42" s="157"/>
      <c r="Q42" s="123"/>
      <c r="R42" s="288"/>
      <c r="S42" s="288"/>
      <c r="T42" s="288"/>
      <c r="U42" s="288"/>
      <c r="V42" s="289"/>
      <c r="W42" s="290"/>
      <c r="X42" s="124"/>
      <c r="Z42" s="123"/>
      <c r="AA42" s="320"/>
      <c r="AB42" s="320"/>
      <c r="AC42" s="283"/>
      <c r="AD42" s="283"/>
      <c r="AE42" s="283"/>
      <c r="AF42" s="283"/>
      <c r="AG42" s="124"/>
    </row>
    <row r="43" spans="1:54" ht="15.6">
      <c r="A43" s="133"/>
      <c r="B43" s="354" t="s">
        <v>409</v>
      </c>
      <c r="C43" s="355"/>
      <c r="D43" s="355"/>
      <c r="E43" s="355"/>
      <c r="F43" s="356"/>
      <c r="G43" s="257">
        <v>0.8</v>
      </c>
      <c r="H43" s="133"/>
      <c r="K43" s="163"/>
      <c r="L43" s="161"/>
      <c r="M43" s="161"/>
      <c r="N43" s="157"/>
      <c r="O43" s="158"/>
      <c r="P43" s="157"/>
      <c r="Q43" s="123"/>
      <c r="R43" s="288"/>
      <c r="S43" s="288"/>
      <c r="T43" s="288"/>
      <c r="U43" s="288"/>
      <c r="V43" s="289"/>
      <c r="W43" s="290"/>
      <c r="X43" s="124"/>
      <c r="Z43" s="123"/>
      <c r="AA43" s="405"/>
      <c r="AB43" s="405"/>
      <c r="AC43" s="283"/>
      <c r="AD43" s="283"/>
      <c r="AE43" s="283"/>
      <c r="AF43" s="283"/>
      <c r="AG43" s="124"/>
    </row>
    <row r="44" spans="1:54" s="133" customFormat="1" ht="16.2" thickBot="1">
      <c r="B44" s="378" t="s">
        <v>410</v>
      </c>
      <c r="C44" s="381"/>
      <c r="D44" s="381"/>
      <c r="E44" s="381"/>
      <c r="F44" s="382"/>
      <c r="G44" s="265">
        <v>0.04</v>
      </c>
      <c r="H44" s="261"/>
      <c r="K44" s="163"/>
      <c r="L44" s="161"/>
      <c r="M44" s="161"/>
      <c r="N44" s="157"/>
      <c r="O44" s="158"/>
      <c r="P44" s="157"/>
      <c r="Q44" s="123"/>
      <c r="R44" s="288"/>
      <c r="S44" s="288"/>
      <c r="T44" s="288"/>
      <c r="U44" s="288"/>
      <c r="V44" s="289"/>
      <c r="W44" s="290"/>
      <c r="X44" s="124"/>
      <c r="Z44" s="123"/>
      <c r="AA44" s="353"/>
      <c r="AB44" s="353"/>
      <c r="AC44" s="283"/>
      <c r="AD44" s="283"/>
      <c r="AE44" s="283"/>
      <c r="AF44" s="283"/>
      <c r="AG44" s="124"/>
    </row>
    <row r="45" spans="1:54" ht="15.6">
      <c r="A45" s="133"/>
      <c r="B45" s="404"/>
      <c r="C45" s="404"/>
      <c r="D45" s="404"/>
      <c r="E45" s="404"/>
      <c r="F45" s="404"/>
      <c r="G45" s="133"/>
      <c r="H45" s="133"/>
      <c r="K45" s="163"/>
      <c r="L45" s="161"/>
      <c r="M45" s="161"/>
      <c r="N45" s="157"/>
      <c r="O45" s="158"/>
      <c r="P45" s="157"/>
      <c r="Q45" s="123"/>
      <c r="R45" s="288"/>
      <c r="S45" s="288"/>
      <c r="T45" s="288"/>
      <c r="U45" s="288"/>
      <c r="V45" s="289"/>
      <c r="W45" s="290"/>
      <c r="X45" s="124"/>
      <c r="Z45" s="123"/>
      <c r="AA45" s="353"/>
      <c r="AB45" s="353"/>
      <c r="AC45" s="283"/>
      <c r="AD45" s="283"/>
      <c r="AE45" s="283"/>
      <c r="AF45" s="283"/>
      <c r="AG45" s="124"/>
    </row>
    <row r="46" spans="1:54" s="133" customFormat="1" ht="15" customHeight="1">
      <c r="B46" s="262"/>
      <c r="C46" s="262"/>
      <c r="D46" s="262"/>
      <c r="E46" s="262"/>
      <c r="F46" s="262"/>
      <c r="G46" s="262"/>
      <c r="H46" s="124"/>
      <c r="Q46" s="123"/>
      <c r="R46" s="288"/>
      <c r="S46" s="288"/>
      <c r="T46" s="288"/>
      <c r="U46" s="288"/>
      <c r="V46" s="289"/>
      <c r="W46" s="290"/>
      <c r="X46" s="124"/>
      <c r="Z46" s="176"/>
      <c r="AA46" s="134"/>
      <c r="AB46" s="134"/>
      <c r="AC46" s="134"/>
      <c r="AD46" s="134"/>
      <c r="AE46" s="134"/>
      <c r="AF46" s="216"/>
      <c r="AG46" s="135"/>
    </row>
    <row r="47" spans="1:54" ht="15.6">
      <c r="C47" s="125"/>
      <c r="D47" s="125"/>
      <c r="E47" s="125"/>
      <c r="F47" s="125"/>
      <c r="G47" s="184">
        <f>IF('Расчет глушение'!G11="",Ни,'Расчет глушение'!G11)</f>
        <v>1500</v>
      </c>
      <c r="Q47" s="123"/>
      <c r="R47" s="288"/>
      <c r="S47" s="288"/>
      <c r="T47" s="288"/>
      <c r="U47" s="288"/>
      <c r="V47" s="289"/>
      <c r="W47" s="290"/>
      <c r="X47" s="124"/>
    </row>
    <row r="48" spans="1:54" ht="15.6">
      <c r="C48" s="125"/>
      <c r="D48" s="125"/>
      <c r="E48" s="125"/>
      <c r="F48" s="125"/>
      <c r="G48" s="185">
        <f>PI()*ЭКв1^2/4000000</f>
        <v>1.5393804002589986E-2</v>
      </c>
      <c r="Q48" s="123"/>
      <c r="R48" s="288"/>
      <c r="S48" s="288"/>
      <c r="T48" s="288"/>
      <c r="U48" s="288"/>
      <c r="V48" s="289"/>
      <c r="W48" s="290"/>
      <c r="X48" s="124"/>
    </row>
    <row r="49" spans="2:33" ht="15.6">
      <c r="C49" s="125"/>
      <c r="D49" s="125"/>
      <c r="E49" s="125"/>
      <c r="F49" s="125"/>
      <c r="G49" s="185">
        <f>PI()*ЭКв2^2/4000000</f>
        <v>0</v>
      </c>
      <c r="Q49" s="123"/>
      <c r="R49" s="288"/>
      <c r="S49" s="288"/>
      <c r="T49" s="288"/>
      <c r="U49" s="288"/>
      <c r="V49" s="289"/>
      <c r="W49" s="290"/>
      <c r="X49" s="124"/>
      <c r="Z49" s="133"/>
      <c r="AA49" s="133"/>
      <c r="AB49" s="133"/>
      <c r="AC49" s="133"/>
      <c r="AD49" s="133"/>
      <c r="AE49" s="133"/>
      <c r="AF49" s="133"/>
      <c r="AG49" s="133"/>
    </row>
    <row r="50" spans="2:33" ht="15.6">
      <c r="C50" s="125"/>
      <c r="D50" s="125"/>
      <c r="E50" s="125"/>
      <c r="F50" s="125"/>
      <c r="G50" s="185">
        <v>1240</v>
      </c>
      <c r="Q50" s="123"/>
      <c r="R50" s="288"/>
      <c r="S50" s="288"/>
      <c r="T50" s="288"/>
      <c r="U50" s="288"/>
      <c r="V50" s="289"/>
      <c r="W50" s="290"/>
      <c r="X50" s="124"/>
    </row>
    <row r="51" spans="2:33" ht="15" customHeight="1">
      <c r="C51" s="125"/>
      <c r="D51" s="125"/>
      <c r="E51" s="125"/>
      <c r="F51" s="125"/>
      <c r="G51" s="185">
        <f>PI()*dнар^2/4000000</f>
        <v>4.4178646691106467E-3</v>
      </c>
      <c r="Q51" s="123"/>
      <c r="R51" s="288"/>
      <c r="S51" s="288"/>
      <c r="T51" s="288"/>
      <c r="U51" s="288"/>
      <c r="V51" s="289"/>
      <c r="W51" s="290"/>
      <c r="X51" s="124"/>
    </row>
    <row r="52" spans="2:33" ht="15.6">
      <c r="C52" s="125"/>
      <c r="D52" s="125"/>
      <c r="E52" s="125"/>
      <c r="F52" s="125"/>
      <c r="G52" s="185">
        <f>PI()*dн^2/4000000</f>
        <v>0</v>
      </c>
      <c r="Q52" s="123"/>
      <c r="R52" s="288"/>
      <c r="S52" s="288"/>
      <c r="T52" s="288"/>
      <c r="U52" s="288"/>
      <c r="V52" s="289"/>
      <c r="W52" s="290"/>
      <c r="X52" s="124"/>
    </row>
    <row r="53" spans="2:33" ht="15" customHeight="1">
      <c r="C53" s="125"/>
      <c r="D53" s="125"/>
      <c r="E53" s="125"/>
      <c r="F53" s="125"/>
      <c r="G53" s="185">
        <f>PI()*dн3^2/4000000</f>
        <v>0</v>
      </c>
      <c r="Q53" s="123"/>
      <c r="R53" s="288"/>
      <c r="S53" s="288"/>
      <c r="T53" s="288"/>
      <c r="U53" s="288"/>
      <c r="V53" s="289"/>
      <c r="W53" s="290"/>
      <c r="X53" s="124"/>
    </row>
    <row r="54" spans="2:33" ht="15.6">
      <c r="B54" s="132" t="s">
        <v>74</v>
      </c>
      <c r="C54" s="125"/>
      <c r="D54" s="125"/>
      <c r="G54" s="185">
        <f>CEILING(IF(Vзатр/расход&gt;=(Ни-Нсп)/2.4,1,Vгл/(Vнкт+Vзатр)),1)</f>
        <v>1</v>
      </c>
      <c r="Q54" s="123"/>
      <c r="R54" s="288"/>
      <c r="S54" s="288"/>
      <c r="T54" s="288"/>
      <c r="U54" s="288"/>
      <c r="V54" s="289"/>
      <c r="W54" s="290"/>
      <c r="X54" s="124"/>
    </row>
    <row r="55" spans="2:33" ht="15" customHeight="1">
      <c r="B55" s="168"/>
      <c r="C55" s="125"/>
      <c r="D55" s="125"/>
      <c r="E55" s="125"/>
      <c r="F55" s="125"/>
      <c r="G55" s="185">
        <f>IF(Vзатр/расход&gt;=(Ни-Нсп)/2.4,1,Vгл/(Vнкт+Vзатр))</f>
        <v>1</v>
      </c>
      <c r="Q55" s="123"/>
      <c r="R55" s="288"/>
      <c r="S55" s="288"/>
      <c r="T55" s="288"/>
      <c r="U55" s="288"/>
      <c r="V55" s="289"/>
      <c r="W55" s="290"/>
      <c r="X55" s="124"/>
    </row>
    <row r="56" spans="2:33" ht="15.6">
      <c r="B56" s="169"/>
      <c r="C56" s="125"/>
      <c r="D56" s="125"/>
      <c r="E56" s="125"/>
      <c r="F56" s="125"/>
      <c r="G56" s="186"/>
      <c r="Q56" s="123"/>
      <c r="R56" s="288"/>
      <c r="S56" s="288"/>
      <c r="T56" s="288"/>
      <c r="U56" s="288"/>
      <c r="V56" s="289"/>
      <c r="W56" s="290"/>
      <c r="X56" s="124"/>
    </row>
    <row r="57" spans="2:33" ht="15.6">
      <c r="B57" s="125"/>
      <c r="C57" s="125"/>
      <c r="D57" s="125"/>
      <c r="E57" s="125"/>
      <c r="F57" s="125"/>
      <c r="G57" s="186"/>
      <c r="Q57" s="123"/>
      <c r="R57" s="288"/>
      <c r="S57" s="288"/>
      <c r="T57" s="288"/>
      <c r="U57" s="288"/>
      <c r="V57" s="289"/>
      <c r="W57" s="290"/>
      <c r="X57" s="124"/>
      <c r="Z57" s="133"/>
      <c r="AA57" s="133"/>
      <c r="AB57" s="133"/>
      <c r="AC57" s="133"/>
      <c r="AD57" s="133"/>
      <c r="AE57" s="133"/>
      <c r="AF57" s="133"/>
      <c r="AG57" s="133"/>
    </row>
    <row r="58" spans="2:33" ht="15.6">
      <c r="B58" s="168"/>
      <c r="C58" s="125"/>
      <c r="D58" s="125"/>
      <c r="E58" s="125"/>
      <c r="F58" s="125"/>
      <c r="G58" s="186"/>
      <c r="Q58" s="123"/>
      <c r="R58" s="288"/>
      <c r="S58" s="288"/>
      <c r="T58" s="288"/>
      <c r="U58" s="288"/>
      <c r="V58" s="289"/>
      <c r="W58" s="290"/>
      <c r="X58" s="124"/>
    </row>
    <row r="59" spans="2:33" ht="15.6">
      <c r="B59" s="168"/>
      <c r="C59" s="125"/>
      <c r="D59" s="125"/>
      <c r="E59" s="125"/>
      <c r="F59" s="125"/>
      <c r="G59" s="125"/>
      <c r="Q59" s="123"/>
      <c r="R59" s="288"/>
      <c r="S59" s="288"/>
      <c r="T59" s="288"/>
      <c r="U59" s="288"/>
      <c r="V59" s="289"/>
      <c r="W59" s="290"/>
      <c r="X59" s="124"/>
      <c r="Z59" s="133"/>
      <c r="AA59" s="133"/>
      <c r="AB59" s="133"/>
      <c r="AC59" s="133"/>
      <c r="AD59" s="133"/>
      <c r="AE59" s="133"/>
      <c r="AF59" s="133"/>
      <c r="AG59" s="133"/>
    </row>
    <row r="60" spans="2:33" ht="15" customHeight="1">
      <c r="B60" s="159"/>
      <c r="G60" s="125"/>
      <c r="Q60" s="123"/>
      <c r="R60" s="288"/>
      <c r="S60" s="288"/>
      <c r="T60" s="288"/>
      <c r="U60" s="288"/>
      <c r="V60" s="289"/>
      <c r="W60" s="290"/>
      <c r="X60" s="124"/>
    </row>
    <row r="61" spans="2:33" ht="15.6">
      <c r="B61" s="159"/>
      <c r="G61" s="125"/>
      <c r="Q61" s="123"/>
      <c r="R61" s="288"/>
      <c r="S61" s="288"/>
      <c r="T61" s="288"/>
      <c r="U61" s="288"/>
      <c r="V61" s="289"/>
      <c r="W61" s="290"/>
      <c r="X61" s="124"/>
    </row>
    <row r="62" spans="2:33" ht="15" customHeight="1">
      <c r="B62" s="162"/>
      <c r="G62" s="125"/>
      <c r="Q62" s="123"/>
      <c r="R62" s="288"/>
      <c r="S62" s="288"/>
      <c r="T62" s="288"/>
      <c r="U62" s="288"/>
      <c r="V62" s="289"/>
      <c r="W62" s="290"/>
      <c r="X62" s="124"/>
    </row>
    <row r="63" spans="2:33" ht="15.6">
      <c r="G63" s="125"/>
      <c r="Q63" s="123"/>
      <c r="R63" s="288"/>
      <c r="S63" s="288"/>
      <c r="T63" s="288"/>
      <c r="U63" s="288"/>
      <c r="V63" s="289"/>
      <c r="W63" s="290"/>
      <c r="X63" s="124"/>
    </row>
    <row r="64" spans="2:33" ht="15" customHeight="1">
      <c r="Q64" s="123"/>
      <c r="R64" s="288"/>
      <c r="S64" s="288"/>
      <c r="T64" s="288"/>
      <c r="U64" s="288"/>
      <c r="V64" s="289"/>
      <c r="W64" s="290"/>
      <c r="X64" s="124"/>
    </row>
    <row r="65" spans="17:24">
      <c r="Q65" s="176"/>
      <c r="R65" s="134"/>
      <c r="S65" s="134"/>
      <c r="T65" s="134"/>
      <c r="U65" s="134"/>
      <c r="V65" s="134"/>
      <c r="W65" s="216"/>
      <c r="X65" s="135"/>
    </row>
    <row r="67" spans="17:24">
      <c r="R67" s="133"/>
      <c r="S67" s="133"/>
      <c r="T67" s="133"/>
      <c r="U67" s="133"/>
      <c r="V67" s="133"/>
      <c r="W67" s="133"/>
    </row>
    <row r="69" spans="17:24" ht="15.6">
      <c r="R69" s="288"/>
      <c r="S69" s="288"/>
      <c r="T69" s="288"/>
      <c r="U69" s="288"/>
      <c r="V69" s="289"/>
      <c r="W69" s="290"/>
    </row>
    <row r="70" spans="17:24" ht="15.6">
      <c r="Q70" s="133"/>
      <c r="R70" s="288"/>
      <c r="S70" s="288"/>
      <c r="T70" s="288"/>
      <c r="U70" s="288"/>
      <c r="V70" s="289"/>
      <c r="W70" s="290"/>
      <c r="X70" s="133"/>
    </row>
    <row r="71" spans="17:24" ht="15.6">
      <c r="R71" s="134"/>
      <c r="S71" s="134"/>
      <c r="T71" s="177"/>
      <c r="U71" s="178"/>
      <c r="V71" s="179"/>
      <c r="W71" s="180"/>
    </row>
    <row r="72" spans="17:24">
      <c r="S72" s="133"/>
      <c r="T72" s="133"/>
      <c r="U72" s="133"/>
      <c r="V72" s="133"/>
      <c r="W72" s="166"/>
    </row>
    <row r="76" spans="17:24">
      <c r="R76" s="133"/>
      <c r="S76" s="133"/>
      <c r="T76" s="133"/>
      <c r="U76" s="133"/>
      <c r="V76" s="133"/>
      <c r="W76" s="166"/>
    </row>
    <row r="80" spans="17:24">
      <c r="R80" s="133"/>
      <c r="S80" s="133"/>
      <c r="T80" s="133"/>
      <c r="U80" s="133"/>
      <c r="V80" s="133"/>
      <c r="W80" s="166"/>
    </row>
    <row r="81" spans="18:23">
      <c r="W81" s="116"/>
    </row>
    <row r="82" spans="18:23">
      <c r="R82" s="133"/>
      <c r="S82" s="133"/>
      <c r="T82" s="133"/>
      <c r="U82" s="133"/>
      <c r="V82" s="133"/>
      <c r="W82" s="133"/>
    </row>
    <row r="83" spans="18:23">
      <c r="W83" s="116"/>
    </row>
    <row r="84" spans="18:23">
      <c r="W84" s="116"/>
    </row>
    <row r="85" spans="18:23">
      <c r="W85" s="116"/>
    </row>
    <row r="86" spans="18:23">
      <c r="W86" s="116"/>
    </row>
  </sheetData>
  <protectedRanges>
    <protectedRange password="C559" sqref="O11:O12" name="Диапазон1_1"/>
    <protectedRange password="C559" sqref="G10" name="Диапазон1_1_2"/>
    <protectedRange password="C559" sqref="G11" name="Диапазон1_1_3"/>
    <protectedRange password="C559" sqref="G12:G13" name="Диапазон1_1_4"/>
    <protectedRange password="C559" sqref="G14" name="Диапазон1_1_5"/>
    <protectedRange password="C559" sqref="G18" name="Диапазон1_1_6"/>
    <protectedRange password="C559" sqref="G19" name="Диапазон1_1_7"/>
    <protectedRange password="C559" sqref="G20" name="Диапазон1_1_8"/>
    <protectedRange password="C559" sqref="G21" name="Диапазон1_1_9"/>
    <protectedRange password="C559" sqref="G26" name="Диапазон1_1_10"/>
    <protectedRange password="C559" sqref="G27" name="Диапазон1_1_11"/>
    <protectedRange password="C559" sqref="G28" name="Диапазон1_1_12"/>
    <protectedRange password="C559" sqref="F26" name="Диапазон1_1_13"/>
    <protectedRange password="C559" sqref="F27" name="Диапазон1_1_14"/>
    <protectedRange password="C559" sqref="F28" name="Диапазон1_1_15"/>
    <protectedRange password="C559" sqref="E26" name="Диапазон1_1_16"/>
    <protectedRange password="C559" sqref="E27" name="Диапазон1_1_17"/>
    <protectedRange password="C559" sqref="E28" name="Диапазон1_1_18"/>
    <protectedRange password="C559" sqref="G32" name="Диапазон1_1_19"/>
    <protectedRange password="C559" sqref="G33" name="Диапазон1_1_20"/>
    <protectedRange password="C559" sqref="G34" name="Диапазон1_1_21"/>
  </protectedRanges>
  <dataConsolidate/>
  <mergeCells count="88">
    <mergeCell ref="AA38:AB38"/>
    <mergeCell ref="AE11:AF11"/>
    <mergeCell ref="AE6:AF6"/>
    <mergeCell ref="AE7:AF7"/>
    <mergeCell ref="AE8:AF8"/>
    <mergeCell ref="AE9:AF9"/>
    <mergeCell ref="AE10:AF10"/>
    <mergeCell ref="AA16:AB17"/>
    <mergeCell ref="Z25:AG25"/>
    <mergeCell ref="AA10:AD10"/>
    <mergeCell ref="R18:U18"/>
    <mergeCell ref="R19:U19"/>
    <mergeCell ref="R20:U20"/>
    <mergeCell ref="R27:U27"/>
    <mergeCell ref="AA6:AD6"/>
    <mergeCell ref="AA7:AD7"/>
    <mergeCell ref="AA8:AD8"/>
    <mergeCell ref="AA9:AD9"/>
    <mergeCell ref="AA4:AD5"/>
    <mergeCell ref="AE4:AF5"/>
    <mergeCell ref="Z2:AG2"/>
    <mergeCell ref="R4:R5"/>
    <mergeCell ref="T4:T5"/>
    <mergeCell ref="U4:U5"/>
    <mergeCell ref="V4:V5"/>
    <mergeCell ref="AA43:AB43"/>
    <mergeCell ref="AA11:AD11"/>
    <mergeCell ref="Q13:X13"/>
    <mergeCell ref="R16:U16"/>
    <mergeCell ref="AA19:AB19"/>
    <mergeCell ref="AA18:AB18"/>
    <mergeCell ref="AA20:AB20"/>
    <mergeCell ref="AA21:AB21"/>
    <mergeCell ref="Z14:AG14"/>
    <mergeCell ref="AC16:AC17"/>
    <mergeCell ref="AD16:AD17"/>
    <mergeCell ref="AE16:AE17"/>
    <mergeCell ref="AF16:AF17"/>
    <mergeCell ref="R17:U17"/>
    <mergeCell ref="R28:U28"/>
    <mergeCell ref="R29:U29"/>
    <mergeCell ref="B45:F45"/>
    <mergeCell ref="B43:F43"/>
    <mergeCell ref="B44:F44"/>
    <mergeCell ref="A37:H37"/>
    <mergeCell ref="B38:F38"/>
    <mergeCell ref="B39:F39"/>
    <mergeCell ref="B40:F40"/>
    <mergeCell ref="R36:U36"/>
    <mergeCell ref="R34:U34"/>
    <mergeCell ref="R32:U32"/>
    <mergeCell ref="R33:U33"/>
    <mergeCell ref="B34:F34"/>
    <mergeCell ref="B32:F32"/>
    <mergeCell ref="B33:F33"/>
    <mergeCell ref="R35:U35"/>
    <mergeCell ref="A2:H2"/>
    <mergeCell ref="A8:H8"/>
    <mergeCell ref="C5:G5"/>
    <mergeCell ref="Q2:X2"/>
    <mergeCell ref="A30:H30"/>
    <mergeCell ref="R30:U30"/>
    <mergeCell ref="A23:H23"/>
    <mergeCell ref="K27:M27"/>
    <mergeCell ref="K28:M28"/>
    <mergeCell ref="K26:M26"/>
    <mergeCell ref="Q25:X25"/>
    <mergeCell ref="R21:U21"/>
    <mergeCell ref="R22:U22"/>
    <mergeCell ref="R23:U23"/>
    <mergeCell ref="R15:U15"/>
    <mergeCell ref="W4:W5"/>
    <mergeCell ref="AA44:AB44"/>
    <mergeCell ref="AA45:AB45"/>
    <mergeCell ref="B12:F12"/>
    <mergeCell ref="B11:F11"/>
    <mergeCell ref="C4:G4"/>
    <mergeCell ref="C6:G6"/>
    <mergeCell ref="R31:U31"/>
    <mergeCell ref="S4:S5"/>
    <mergeCell ref="B10:F10"/>
    <mergeCell ref="A16:H16"/>
    <mergeCell ref="B18:F18"/>
    <mergeCell ref="B19:F19"/>
    <mergeCell ref="B20:F20"/>
    <mergeCell ref="B21:F21"/>
    <mergeCell ref="B13:F13"/>
    <mergeCell ref="B14:F14"/>
  </mergeCells>
  <conditionalFormatting sqref="B54">
    <cfRule type="expression" dxfId="42" priority="38">
      <formula>$AD$85=""</formula>
    </cfRule>
  </conditionalFormatting>
  <conditionalFormatting sqref="V6 T8:W10 T7 V7:W7 AA20:AA21 AC38:AF45">
    <cfRule type="expression" dxfId="41" priority="42" stopIfTrue="1">
      <formula>$U$15="Фаинское"</formula>
    </cfRule>
  </conditionalFormatting>
  <conditionalFormatting sqref="S8:S10">
    <cfRule type="expression" dxfId="40" priority="20" stopIfTrue="1">
      <formula>$U$15="Фаинское"</formula>
    </cfRule>
  </conditionalFormatting>
  <conditionalFormatting sqref="T6">
    <cfRule type="expression" dxfId="39" priority="19" stopIfTrue="1">
      <formula>$U$15="Фаинское"</formula>
    </cfRule>
  </conditionalFormatting>
  <conditionalFormatting sqref="U6">
    <cfRule type="expression" dxfId="38" priority="18" stopIfTrue="1">
      <formula>$U$15="Фаинское"</formula>
    </cfRule>
  </conditionalFormatting>
  <conditionalFormatting sqref="AC18:AF21">
    <cfRule type="expression" dxfId="37" priority="13" stopIfTrue="1">
      <formula>$U$15="Фаинское"</formula>
    </cfRule>
  </conditionalFormatting>
  <conditionalFormatting sqref="AA44:AA45">
    <cfRule type="expression" dxfId="36" priority="2" stopIfTrue="1">
      <formula>$U$15="Фаинское"</formula>
    </cfRule>
  </conditionalFormatting>
  <dataValidations count="1">
    <dataValidation type="list" allowBlank="1" showInputMessage="1" showErrorMessage="1" sqref="V34">
      <formula1>$AI$4:$AI$7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Созать_план_по_глушению">
                <anchor moveWithCells="1" sizeWithCells="1">
                  <from>
                    <xdr:col>16</xdr:col>
                    <xdr:colOff>22860</xdr:colOff>
                    <xdr:row>66</xdr:row>
                    <xdr:rowOff>7620</xdr:rowOff>
                  </from>
                  <to>
                    <xdr:col>24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Созать_план_приготовления_раствора">
                <anchor moveWithCells="1" sizeWithCells="1">
                  <from>
                    <xdr:col>16</xdr:col>
                    <xdr:colOff>30480</xdr:colOff>
                    <xdr:row>71</xdr:row>
                    <xdr:rowOff>0</xdr:rowOff>
                  </from>
                  <to>
                    <xdr:col>24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O136"/>
  <sheetViews>
    <sheetView topLeftCell="A88" zoomScale="55" zoomScaleNormal="55" zoomScaleSheetLayoutView="70" workbookViewId="0">
      <selection activeCell="AA77" sqref="AA77"/>
    </sheetView>
  </sheetViews>
  <sheetFormatPr defaultColWidth="9.109375" defaultRowHeight="13.2"/>
  <cols>
    <col min="1" max="1" width="2.88671875" style="1" customWidth="1"/>
    <col min="2" max="2" width="19.5546875" style="1" customWidth="1"/>
    <col min="3" max="3" width="19.109375" style="1" customWidth="1"/>
    <col min="4" max="4" width="12.5546875" style="1" customWidth="1"/>
    <col min="5" max="20" width="1.109375" style="1" customWidth="1"/>
    <col min="21" max="21" width="10.44140625" style="1" customWidth="1"/>
    <col min="22" max="22" width="14.33203125" style="1" customWidth="1"/>
    <col min="23" max="23" width="18.33203125" style="1" customWidth="1"/>
    <col min="24" max="24" width="13.88671875" style="1" customWidth="1"/>
    <col min="25" max="25" width="20.88671875" style="1" customWidth="1"/>
    <col min="26" max="26" width="15.109375" style="1" customWidth="1"/>
    <col min="27" max="27" width="11.44140625" style="1" customWidth="1"/>
    <col min="28" max="28" width="13.88671875" style="1" customWidth="1"/>
    <col min="29" max="29" width="8.109375" style="1" customWidth="1"/>
    <col min="30" max="30" width="9.5546875" style="1" bestFit="1" customWidth="1"/>
    <col min="31" max="31" width="5.88671875" style="1" customWidth="1"/>
    <col min="32" max="32" width="15.109375" style="1" customWidth="1"/>
    <col min="33" max="33" width="11.44140625" style="1" customWidth="1"/>
    <col min="34" max="34" width="10" style="1" customWidth="1"/>
    <col min="35" max="35" width="28.6640625" style="1" customWidth="1"/>
    <col min="36" max="36" width="16.6640625" style="1" customWidth="1"/>
    <col min="37" max="65" width="9.109375" style="1"/>
    <col min="66" max="66" width="7.33203125" style="1" customWidth="1"/>
    <col min="67" max="67" width="11" style="1" customWidth="1"/>
    <col min="68" max="16384" width="9.109375" style="1"/>
  </cols>
  <sheetData>
    <row r="1" spans="2:42" ht="20.100000000000001" customHeight="1">
      <c r="B1" s="2"/>
      <c r="E1" s="458"/>
      <c r="F1" s="458"/>
      <c r="G1" s="458"/>
      <c r="H1" s="458"/>
      <c r="I1" s="458"/>
      <c r="J1" s="458"/>
      <c r="K1" s="458"/>
      <c r="L1" s="458"/>
      <c r="M1" s="458"/>
      <c r="N1" s="458"/>
      <c r="O1" s="458"/>
      <c r="P1" s="458"/>
      <c r="Q1" s="458"/>
      <c r="R1" s="458"/>
      <c r="S1" s="458"/>
      <c r="T1" s="458"/>
    </row>
    <row r="2" spans="2:42" ht="20.100000000000001" customHeight="1">
      <c r="B2" s="4"/>
      <c r="C2" s="4"/>
      <c r="D2" s="4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"/>
      <c r="V2" s="4"/>
      <c r="W2" s="4"/>
      <c r="X2" s="4"/>
      <c r="Y2" s="4"/>
      <c r="Z2" s="4"/>
      <c r="AA2" s="4"/>
      <c r="AF2" s="3"/>
    </row>
    <row r="3" spans="2:42" ht="20.100000000000001" customHeight="1">
      <c r="B3" s="4"/>
      <c r="C3" s="4"/>
      <c r="D3" s="4"/>
      <c r="E3" s="458"/>
      <c r="F3" s="458"/>
      <c r="G3" s="458"/>
      <c r="H3" s="458"/>
      <c r="I3" s="458"/>
      <c r="J3" s="458"/>
      <c r="K3" s="458"/>
      <c r="L3" s="458"/>
      <c r="M3" s="458"/>
      <c r="N3" s="458"/>
      <c r="O3" s="458"/>
      <c r="P3" s="458"/>
      <c r="Q3" s="458"/>
      <c r="R3" s="458"/>
      <c r="S3" s="458"/>
      <c r="T3" s="458"/>
      <c r="U3" s="4"/>
      <c r="V3" s="4"/>
      <c r="W3" s="4"/>
      <c r="X3" s="4"/>
      <c r="Y3" s="4"/>
      <c r="Z3" s="4"/>
      <c r="AA3" s="4"/>
      <c r="AF3" s="3"/>
    </row>
    <row r="4" spans="2:42" ht="20.100000000000001" customHeight="1">
      <c r="D4" s="136" t="s">
        <v>36</v>
      </c>
      <c r="E4" s="136"/>
      <c r="F4" s="136"/>
      <c r="G4" s="136"/>
      <c r="H4" s="136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469" t="s">
        <v>102</v>
      </c>
      <c r="V4" s="469"/>
      <c r="W4" s="471" t="s">
        <v>41</v>
      </c>
      <c r="X4" s="471"/>
      <c r="Y4" s="469"/>
      <c r="Z4" s="469"/>
      <c r="AA4" s="469"/>
      <c r="AF4" s="3"/>
    </row>
    <row r="5" spans="2:42" ht="20.100000000000001" customHeight="1">
      <c r="D5" s="136" t="s">
        <v>82</v>
      </c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  <c r="R5" s="136"/>
      <c r="S5" s="136"/>
      <c r="T5" s="136"/>
      <c r="U5" s="470" t="s">
        <v>102</v>
      </c>
      <c r="V5" s="469"/>
      <c r="W5" s="471" t="s">
        <v>24</v>
      </c>
      <c r="X5" s="471"/>
      <c r="Y5" s="469"/>
      <c r="Z5" s="469"/>
      <c r="AA5" s="469"/>
      <c r="AF5" s="3"/>
      <c r="AI5" s="5"/>
      <c r="AJ5" s="6"/>
      <c r="AL5" s="6"/>
      <c r="AN5" s="6"/>
    </row>
    <row r="6" spans="2:42" ht="20.100000000000001" customHeight="1">
      <c r="D6" s="136" t="s">
        <v>27</v>
      </c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470">
        <v>642</v>
      </c>
      <c r="V6" s="469"/>
      <c r="W6" s="471" t="s">
        <v>21</v>
      </c>
      <c r="X6" s="471"/>
      <c r="Y6" s="469"/>
      <c r="Z6" s="469"/>
      <c r="AA6" s="469"/>
      <c r="AF6" s="3"/>
      <c r="AI6" s="5"/>
      <c r="AJ6" s="6"/>
      <c r="AL6" s="6"/>
      <c r="AN6" s="6"/>
    </row>
    <row r="7" spans="2:42" ht="20.100000000000001" customHeight="1">
      <c r="B7" s="144"/>
      <c r="C7" s="144"/>
      <c r="D7" s="144"/>
      <c r="E7" s="457"/>
      <c r="F7" s="457"/>
      <c r="G7" s="457"/>
      <c r="H7" s="457"/>
      <c r="I7" s="457"/>
      <c r="J7" s="457"/>
      <c r="K7" s="457"/>
      <c r="L7" s="457"/>
      <c r="M7" s="457"/>
      <c r="N7" s="457"/>
      <c r="O7" s="457"/>
      <c r="P7" s="457"/>
      <c r="Q7" s="457"/>
      <c r="R7" s="457"/>
      <c r="S7" s="457"/>
      <c r="T7" s="457"/>
      <c r="U7" s="145"/>
      <c r="V7" s="145"/>
      <c r="AD7" s="7"/>
      <c r="AF7" s="3"/>
      <c r="AI7" s="5"/>
      <c r="AJ7" s="6"/>
      <c r="AL7" s="6"/>
      <c r="AN7" s="6"/>
    </row>
    <row r="8" spans="2:42" ht="20.100000000000001" customHeight="1">
      <c r="B8" s="144"/>
      <c r="C8" s="146"/>
      <c r="D8" s="147" t="s">
        <v>64</v>
      </c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47"/>
      <c r="S8" s="147"/>
      <c r="T8" s="147"/>
      <c r="U8" s="146"/>
      <c r="V8" s="148"/>
      <c r="W8" s="9" t="s">
        <v>29</v>
      </c>
      <c r="AF8" s="3"/>
      <c r="AI8" s="5"/>
      <c r="AJ8" s="6"/>
      <c r="AL8" s="6"/>
      <c r="AN8" s="6"/>
    </row>
    <row r="9" spans="2:42" ht="20.100000000000001" customHeight="1">
      <c r="B9" s="144"/>
      <c r="C9" s="146"/>
      <c r="D9" s="146"/>
      <c r="E9" s="457" t="s">
        <v>78</v>
      </c>
      <c r="F9" s="457"/>
      <c r="G9" s="457"/>
      <c r="H9" s="457"/>
      <c r="I9" s="457"/>
      <c r="J9" s="457"/>
      <c r="K9" s="457"/>
      <c r="L9" s="457"/>
      <c r="M9" s="457"/>
      <c r="N9" s="457"/>
      <c r="O9" s="457"/>
      <c r="P9" s="457"/>
      <c r="Q9" s="457"/>
      <c r="R9" s="457"/>
      <c r="S9" s="457"/>
      <c r="T9" s="457"/>
      <c r="U9" s="149"/>
      <c r="V9" s="147" t="s">
        <v>7</v>
      </c>
      <c r="W9" s="9" t="s">
        <v>29</v>
      </c>
      <c r="AI9" s="5"/>
      <c r="AJ9" s="6"/>
      <c r="AN9" s="6"/>
    </row>
    <row r="10" spans="2:42" ht="20.100000000000001" customHeight="1">
      <c r="B10" s="144"/>
      <c r="C10" s="150" t="s">
        <v>81</v>
      </c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2"/>
      <c r="V10" s="153" t="s">
        <v>11</v>
      </c>
      <c r="W10" s="9"/>
      <c r="AI10" s="5"/>
      <c r="AN10" s="6"/>
    </row>
    <row r="11" spans="2:42" ht="20.100000000000001" customHeight="1">
      <c r="B11" s="144"/>
      <c r="C11" s="146"/>
      <c r="D11" s="461" t="s">
        <v>79</v>
      </c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149"/>
      <c r="V11" s="153" t="s">
        <v>0</v>
      </c>
      <c r="W11" s="9"/>
      <c r="AN11" s="6"/>
    </row>
    <row r="12" spans="2:42" ht="20.100000000000001" customHeight="1">
      <c r="B12" s="144"/>
      <c r="C12" s="146"/>
      <c r="D12" s="472" t="s">
        <v>80</v>
      </c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72"/>
      <c r="R12" s="472"/>
      <c r="S12" s="472"/>
      <c r="T12" s="472"/>
      <c r="U12" s="154" t="str">
        <f>IF(OR(U9="",U10=""),"",IF(U10&lt;1,U9+(#REF!*ВНК)/10,U9+(U10*ВНК)/10))</f>
        <v/>
      </c>
      <c r="V12" s="153" t="s">
        <v>7</v>
      </c>
      <c r="W12" s="9"/>
      <c r="AN12" s="6"/>
      <c r="AP12" s="16"/>
    </row>
    <row r="13" spans="2:42" ht="20.100000000000001" customHeight="1">
      <c r="B13" s="144"/>
      <c r="C13" s="144"/>
      <c r="D13" s="144"/>
      <c r="E13" s="457"/>
      <c r="F13" s="457"/>
      <c r="G13" s="457"/>
      <c r="H13" s="457"/>
      <c r="I13" s="457"/>
      <c r="J13" s="457"/>
      <c r="K13" s="457"/>
      <c r="L13" s="457"/>
      <c r="M13" s="457"/>
      <c r="N13" s="457"/>
      <c r="O13" s="457"/>
      <c r="P13" s="457"/>
      <c r="Q13" s="457"/>
      <c r="R13" s="457"/>
      <c r="S13" s="457"/>
      <c r="T13" s="457"/>
      <c r="U13" s="146"/>
      <c r="V13" s="145"/>
      <c r="W13" s="9"/>
      <c r="AJ13" s="6"/>
    </row>
    <row r="14" spans="2:42" ht="20.100000000000001" customHeight="1">
      <c r="B14" s="144"/>
      <c r="C14" s="144"/>
      <c r="D14" s="144"/>
      <c r="E14" s="460"/>
      <c r="F14" s="460"/>
      <c r="G14" s="460"/>
      <c r="H14" s="460"/>
      <c r="I14" s="460"/>
      <c r="J14" s="460"/>
      <c r="K14" s="460"/>
      <c r="L14" s="460"/>
      <c r="M14" s="460"/>
      <c r="N14" s="460"/>
      <c r="O14" s="460"/>
      <c r="P14" s="460"/>
      <c r="Q14" s="460"/>
      <c r="R14" s="460"/>
      <c r="S14" s="460"/>
      <c r="T14" s="460"/>
      <c r="U14" s="155"/>
      <c r="V14" s="145"/>
      <c r="W14" s="9" t="s">
        <v>29</v>
      </c>
      <c r="AI14" s="5"/>
      <c r="AJ14" s="6"/>
      <c r="AK14" s="6"/>
      <c r="AL14" s="6"/>
      <c r="AN14" s="6"/>
    </row>
    <row r="15" spans="2:42" ht="20.100000000000001" customHeight="1">
      <c r="B15" s="19" t="s">
        <v>37</v>
      </c>
      <c r="C15" s="20"/>
      <c r="D15" s="7" t="s">
        <v>103</v>
      </c>
      <c r="E15" s="458"/>
      <c r="F15" s="458"/>
      <c r="G15" s="458"/>
      <c r="H15" s="458"/>
      <c r="I15" s="458"/>
      <c r="J15" s="458"/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V15" s="8"/>
      <c r="W15" s="9"/>
      <c r="AI15" s="21"/>
    </row>
    <row r="16" spans="2:42" ht="20.100000000000001" customHeight="1">
      <c r="B16" s="7"/>
      <c r="C16" s="22"/>
      <c r="D16" s="22"/>
      <c r="E16" s="456"/>
      <c r="F16" s="456"/>
      <c r="G16" s="456"/>
      <c r="H16" s="456"/>
      <c r="I16" s="456"/>
      <c r="J16" s="456"/>
      <c r="K16" s="456"/>
      <c r="L16" s="456"/>
      <c r="M16" s="456"/>
      <c r="N16" s="456"/>
      <c r="O16" s="456"/>
      <c r="P16" s="456"/>
      <c r="Q16" s="456"/>
      <c r="R16" s="456"/>
      <c r="S16" s="456"/>
      <c r="T16" s="456"/>
      <c r="U16" s="22"/>
      <c r="V16" s="7"/>
      <c r="W16" s="9" t="s">
        <v>29</v>
      </c>
      <c r="AE16" s="3"/>
      <c r="AF16" s="3"/>
      <c r="AG16" s="3"/>
      <c r="AH16" s="23"/>
      <c r="AI16" s="5"/>
      <c r="AJ16" s="6"/>
    </row>
    <row r="17" spans="2:38" ht="20.100000000000001" customHeight="1">
      <c r="B17" s="7"/>
      <c r="C17" s="22"/>
      <c r="D17" s="22"/>
      <c r="E17" s="456"/>
      <c r="F17" s="456"/>
      <c r="G17" s="456"/>
      <c r="H17" s="456"/>
      <c r="I17" s="456"/>
      <c r="J17" s="456"/>
      <c r="K17" s="456"/>
      <c r="L17" s="456"/>
      <c r="M17" s="456"/>
      <c r="N17" s="456"/>
      <c r="O17" s="456"/>
      <c r="P17" s="456"/>
      <c r="Q17" s="456"/>
      <c r="R17" s="456"/>
      <c r="S17" s="456"/>
      <c r="T17" s="456"/>
      <c r="U17" s="22"/>
      <c r="V17" s="7"/>
      <c r="W17" s="9"/>
      <c r="AE17" s="3"/>
      <c r="AF17" s="3"/>
      <c r="AG17" s="3"/>
      <c r="AH17" s="23"/>
      <c r="AI17" s="5"/>
      <c r="AJ17" s="6"/>
      <c r="AL17" s="6"/>
    </row>
    <row r="18" spans="2:38" ht="20.100000000000001" customHeight="1">
      <c r="B18" s="7"/>
      <c r="C18" s="22"/>
      <c r="D18" s="22"/>
      <c r="E18" s="456"/>
      <c r="F18" s="456"/>
      <c r="G18" s="456"/>
      <c r="H18" s="456"/>
      <c r="I18" s="456"/>
      <c r="J18" s="456"/>
      <c r="K18" s="456"/>
      <c r="L18" s="456"/>
      <c r="M18" s="456"/>
      <c r="N18" s="456"/>
      <c r="O18" s="456"/>
      <c r="P18" s="456"/>
      <c r="Q18" s="456"/>
      <c r="R18" s="456"/>
      <c r="S18" s="456"/>
      <c r="T18" s="456"/>
      <c r="U18" s="22"/>
      <c r="V18" s="7"/>
      <c r="W18" s="9"/>
      <c r="AE18" s="3"/>
      <c r="AF18" s="3"/>
      <c r="AG18" s="3"/>
      <c r="AI18" s="24"/>
      <c r="AJ18" s="6"/>
    </row>
    <row r="19" spans="2:38" ht="20.100000000000001" customHeight="1">
      <c r="E19" s="458"/>
      <c r="F19" s="458"/>
      <c r="G19" s="458"/>
      <c r="H19" s="458"/>
      <c r="I19" s="458"/>
      <c r="J19" s="458"/>
      <c r="K19" s="458"/>
      <c r="L19" s="458"/>
      <c r="M19" s="458"/>
      <c r="N19" s="458"/>
      <c r="O19" s="458"/>
      <c r="P19" s="458"/>
      <c r="Q19" s="458"/>
      <c r="R19" s="458"/>
      <c r="S19" s="458"/>
      <c r="T19" s="458"/>
      <c r="U19" s="7"/>
      <c r="V19" s="7"/>
      <c r="W19" s="9" t="s">
        <v>29</v>
      </c>
      <c r="AE19" s="3"/>
      <c r="AF19" s="3"/>
      <c r="AG19" s="3"/>
      <c r="AH19" s="23"/>
      <c r="AI19" s="24"/>
      <c r="AJ19" s="17"/>
    </row>
    <row r="20" spans="2:38" ht="20.100000000000001" customHeight="1">
      <c r="B20" s="25" t="s">
        <v>56</v>
      </c>
      <c r="C20" s="7"/>
      <c r="D20" s="159"/>
      <c r="E20" s="459"/>
      <c r="F20" s="459"/>
      <c r="G20" s="459"/>
      <c r="H20" s="459"/>
      <c r="I20" s="459"/>
      <c r="J20" s="459"/>
      <c r="K20" s="459"/>
      <c r="L20" s="459"/>
      <c r="M20" s="459"/>
      <c r="N20" s="459"/>
      <c r="O20" s="459"/>
      <c r="P20" s="459"/>
      <c r="Q20" s="459"/>
      <c r="R20" s="459"/>
      <c r="S20" s="459"/>
      <c r="T20" s="459"/>
      <c r="U20" s="159"/>
      <c r="V20" s="7"/>
      <c r="W20" s="7"/>
      <c r="AE20" s="3"/>
      <c r="AF20" s="3"/>
      <c r="AG20" s="3"/>
      <c r="AH20" s="23"/>
      <c r="AI20" s="3"/>
    </row>
    <row r="21" spans="2:38" ht="20.100000000000001" customHeight="1">
      <c r="D21" s="159"/>
      <c r="E21" s="28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8"/>
      <c r="U21" s="159"/>
      <c r="V21" s="7"/>
      <c r="W21" s="7"/>
      <c r="AE21" s="3"/>
      <c r="AF21" s="3"/>
      <c r="AG21" s="3"/>
      <c r="AH21" s="30"/>
      <c r="AI21" s="3"/>
      <c r="AJ21" s="6"/>
    </row>
    <row r="22" spans="2:38" ht="20.100000000000001" customHeight="1">
      <c r="D22" s="189"/>
      <c r="E22" s="28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8"/>
      <c r="U22" s="159"/>
      <c r="V22" s="7"/>
      <c r="W22" s="7"/>
      <c r="AE22" s="3"/>
      <c r="AF22" s="3"/>
      <c r="AG22" s="3"/>
      <c r="AH22" s="23"/>
      <c r="AI22" s="3"/>
      <c r="AJ22" s="6"/>
    </row>
    <row r="23" spans="2:38" ht="20.100000000000001" customHeight="1">
      <c r="D23" s="158"/>
      <c r="E23" s="28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8"/>
      <c r="U23" s="159"/>
      <c r="V23" s="7"/>
      <c r="W23" s="7"/>
      <c r="AE23" s="3"/>
      <c r="AF23" s="3"/>
      <c r="AG23" s="3"/>
      <c r="AH23" s="23"/>
      <c r="AI23" s="3"/>
      <c r="AJ23" s="6"/>
    </row>
    <row r="24" spans="2:38" ht="20.100000000000001" customHeight="1">
      <c r="B24" s="26"/>
      <c r="C24" s="27"/>
      <c r="D24" s="159"/>
      <c r="E24" s="28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8"/>
      <c r="U24" s="159"/>
      <c r="V24" s="7"/>
      <c r="W24" s="7"/>
      <c r="AE24" s="3"/>
      <c r="AF24" s="3"/>
      <c r="AG24" s="3"/>
      <c r="AH24" s="30"/>
      <c r="AI24" s="3"/>
      <c r="AJ24" s="6"/>
    </row>
    <row r="25" spans="2:38" ht="20.100000000000001" customHeight="1">
      <c r="B25" s="26"/>
      <c r="C25" s="18"/>
      <c r="D25" s="189"/>
      <c r="E25" s="28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8"/>
      <c r="U25" s="159"/>
      <c r="V25" s="7"/>
      <c r="W25" s="7"/>
      <c r="AE25" s="3"/>
      <c r="AF25" s="3"/>
      <c r="AG25" s="3"/>
      <c r="AH25" s="30"/>
      <c r="AI25" s="3"/>
      <c r="AJ25" s="6"/>
    </row>
    <row r="26" spans="2:38" ht="20.100000000000001" customHeight="1">
      <c r="B26" s="31"/>
      <c r="C26" s="18"/>
      <c r="D26" s="158"/>
      <c r="E26" s="28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8"/>
      <c r="U26" s="159"/>
      <c r="V26" s="7"/>
      <c r="W26" s="7"/>
      <c r="AE26" s="3"/>
      <c r="AF26" s="3"/>
      <c r="AG26" s="3"/>
      <c r="AH26" s="30"/>
      <c r="AI26" s="3"/>
      <c r="AJ26" s="6"/>
    </row>
    <row r="27" spans="2:38" ht="20.100000000000001" customHeight="1">
      <c r="B27" s="26"/>
      <c r="D27" s="159"/>
      <c r="E27" s="28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8"/>
      <c r="U27" s="159"/>
      <c r="V27" s="7"/>
      <c r="W27" s="7"/>
      <c r="AE27" s="3"/>
      <c r="AF27" s="3"/>
      <c r="AG27" s="3"/>
      <c r="AH27" s="30"/>
      <c r="AI27" s="3"/>
      <c r="AJ27" s="6"/>
    </row>
    <row r="28" spans="2:38" ht="20.100000000000001" customHeight="1">
      <c r="B28" s="32"/>
      <c r="D28" s="158"/>
      <c r="E28" s="33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3"/>
      <c r="U28" s="159"/>
      <c r="V28" s="35"/>
      <c r="W28" s="7"/>
      <c r="AE28" s="3"/>
      <c r="AF28" s="3"/>
      <c r="AG28" s="3"/>
      <c r="AH28" s="36"/>
      <c r="AI28" s="3"/>
    </row>
    <row r="29" spans="2:38" ht="20.100000000000001" customHeight="1">
      <c r="B29" s="32"/>
      <c r="D29" s="158"/>
      <c r="E29" s="37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7"/>
      <c r="U29" s="159"/>
      <c r="V29" s="7"/>
      <c r="W29" s="7" t="s">
        <v>99</v>
      </c>
      <c r="AE29" s="3"/>
      <c r="AF29" s="3"/>
      <c r="AG29" s="3"/>
      <c r="AH29" s="30"/>
      <c r="AI29" s="3"/>
    </row>
    <row r="30" spans="2:38" ht="20.100000000000001" customHeight="1">
      <c r="B30" s="32"/>
      <c r="C30" s="7"/>
      <c r="D30" s="159"/>
      <c r="E30" s="28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8"/>
      <c r="U30" s="159"/>
      <c r="V30" s="7"/>
      <c r="W30" s="7"/>
      <c r="AE30" s="3"/>
      <c r="AF30" s="3"/>
      <c r="AG30" s="3"/>
      <c r="AH30" s="30"/>
      <c r="AI30" s="3"/>
    </row>
    <row r="31" spans="2:38" ht="20.100000000000001" customHeight="1">
      <c r="B31" s="32"/>
      <c r="D31" s="158"/>
      <c r="E31" s="37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7"/>
      <c r="U31" s="159"/>
      <c r="V31" s="7"/>
      <c r="W31" s="7"/>
      <c r="AE31" s="3"/>
      <c r="AF31" s="3"/>
      <c r="AG31" s="3"/>
      <c r="AH31" s="30"/>
      <c r="AI31" s="3"/>
    </row>
    <row r="32" spans="2:38" ht="20.100000000000001" customHeight="1">
      <c r="B32" s="32"/>
      <c r="D32" s="158"/>
      <c r="E32" s="37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7"/>
      <c r="U32" s="159"/>
      <c r="V32" s="7"/>
      <c r="W32" s="7"/>
    </row>
    <row r="33" spans="2:38" ht="12.75" customHeight="1">
      <c r="B33" s="32"/>
      <c r="D33" s="158"/>
      <c r="E33" s="37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7"/>
      <c r="U33" s="161"/>
      <c r="V33" s="27"/>
      <c r="W33" s="7"/>
    </row>
    <row r="34" spans="2:38" ht="20.100000000000001" customHeight="1">
      <c r="B34" s="32"/>
      <c r="C34" s="7"/>
      <c r="D34" s="159"/>
      <c r="E34" s="28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8"/>
      <c r="U34" s="159"/>
      <c r="V34" s="7"/>
      <c r="W34" s="7"/>
      <c r="AI34" s="40" t="s">
        <v>59</v>
      </c>
    </row>
    <row r="35" spans="2:38" ht="12" customHeight="1">
      <c r="B35" s="32"/>
      <c r="C35" s="27"/>
      <c r="D35" s="159"/>
      <c r="E35" s="28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8"/>
      <c r="U35" s="159"/>
      <c r="V35" s="7"/>
      <c r="W35" s="7"/>
      <c r="AI35" s="40" t="s">
        <v>33</v>
      </c>
    </row>
    <row r="36" spans="2:38" ht="20.100000000000001" customHeight="1">
      <c r="B36" s="32"/>
      <c r="C36" s="41"/>
      <c r="D36" s="158"/>
      <c r="E36" s="28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8"/>
      <c r="U36" s="159"/>
      <c r="V36" s="7"/>
      <c r="W36" s="7"/>
      <c r="AI36" s="40"/>
    </row>
    <row r="37" spans="2:38" ht="12" customHeight="1">
      <c r="B37" s="32"/>
      <c r="C37" s="18"/>
      <c r="D37" s="158"/>
      <c r="E37" s="28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8"/>
      <c r="U37" s="159"/>
      <c r="V37" s="7"/>
      <c r="W37" s="7"/>
      <c r="AI37" s="40"/>
    </row>
    <row r="38" spans="2:38" ht="20.100000000000001" customHeight="1">
      <c r="B38" s="32"/>
      <c r="C38" s="27"/>
      <c r="D38" s="159"/>
      <c r="E38" s="37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7"/>
      <c r="U38" s="159"/>
      <c r="V38" s="7"/>
      <c r="W38" s="7"/>
      <c r="AI38" s="40"/>
      <c r="AJ38" s="40"/>
      <c r="AK38" s="40"/>
      <c r="AL38" s="40"/>
    </row>
    <row r="39" spans="2:38" ht="11.25" customHeight="1">
      <c r="B39" s="32"/>
      <c r="D39" s="158"/>
      <c r="E39" s="37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7"/>
      <c r="U39" s="159"/>
      <c r="V39" s="7"/>
      <c r="W39" s="7"/>
      <c r="AI39" s="13" t="s">
        <v>42</v>
      </c>
      <c r="AJ39" s="42">
        <f>(AJ43*AJ44-AJ41*AJ42)/AJ40</f>
        <v>1.1677500204657332</v>
      </c>
      <c r="AK39" s="40"/>
      <c r="AL39" s="40"/>
    </row>
    <row r="40" spans="2:38" ht="20.100000000000001" customHeight="1">
      <c r="D40" s="159"/>
      <c r="E40" s="28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8"/>
      <c r="U40" s="190"/>
      <c r="V40" s="7"/>
      <c r="W40" s="7"/>
      <c r="AI40" s="13" t="s">
        <v>38</v>
      </c>
      <c r="AJ40" s="43">
        <f>Vнкт+Vзатр</f>
        <v>19.593013823010782</v>
      </c>
      <c r="AK40" s="40"/>
      <c r="AL40" s="40"/>
    </row>
    <row r="41" spans="2:38" ht="12.75" customHeight="1">
      <c r="B41" s="32"/>
      <c r="D41" s="158"/>
      <c r="E41" s="37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7"/>
      <c r="U41" s="159"/>
      <c r="V41" s="7"/>
      <c r="W41" s="7"/>
      <c r="AI41" s="13" t="s">
        <v>44</v>
      </c>
      <c r="AJ41" s="13">
        <f>pж</f>
        <v>0.88</v>
      </c>
      <c r="AK41" s="40"/>
      <c r="AL41" s="40"/>
    </row>
    <row r="42" spans="2:38" ht="20.100000000000001" customHeight="1">
      <c r="B42" s="32"/>
      <c r="D42" s="158"/>
      <c r="E42" s="37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7"/>
      <c r="U42" s="159"/>
      <c r="V42" s="7"/>
      <c r="W42" s="7"/>
      <c r="AI42" s="13" t="s">
        <v>39</v>
      </c>
      <c r="AJ42" s="13">
        <f>Vзум</f>
        <v>1.5393804002589986</v>
      </c>
      <c r="AK42" s="40"/>
      <c r="AL42" s="40"/>
    </row>
    <row r="43" spans="2:38" ht="14.25" customHeight="1">
      <c r="B43" s="32"/>
      <c r="C43" s="7"/>
      <c r="D43" s="159"/>
      <c r="E43" s="28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8"/>
      <c r="U43" s="159"/>
      <c r="V43" s="7"/>
      <c r="W43" s="7"/>
      <c r="AI43" s="13" t="s">
        <v>45</v>
      </c>
      <c r="AJ43" s="42">
        <f>SG</f>
        <v>1.1467889908256881</v>
      </c>
      <c r="AK43" s="40"/>
      <c r="AL43" s="40"/>
    </row>
    <row r="44" spans="2:38" ht="20.100000000000001" customHeight="1">
      <c r="B44" s="32"/>
      <c r="C44" s="27"/>
      <c r="D44" s="159"/>
      <c r="E44" s="2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28"/>
      <c r="U44" s="159"/>
      <c r="V44" s="7"/>
      <c r="W44" s="7"/>
      <c r="AI44" s="13" t="s">
        <v>40</v>
      </c>
      <c r="AJ44" s="43">
        <f>Vнкт+Vзатр+Vзум</f>
        <v>21.132394223269781</v>
      </c>
      <c r="AK44" s="40"/>
      <c r="AL44" s="40"/>
    </row>
    <row r="45" spans="2:38" ht="20.100000000000001" customHeight="1">
      <c r="B45" s="32"/>
      <c r="C45" s="41"/>
      <c r="D45" s="158"/>
      <c r="E45" s="37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7"/>
      <c r="U45" s="159"/>
      <c r="V45" s="7"/>
      <c r="W45" s="7"/>
      <c r="AI45" s="40"/>
      <c r="AJ45" s="40"/>
      <c r="AK45" s="40"/>
      <c r="AL45" s="40"/>
    </row>
    <row r="46" spans="2:38" ht="20.100000000000001" customHeight="1">
      <c r="B46" s="32"/>
      <c r="D46" s="158"/>
      <c r="E46" s="37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7"/>
      <c r="U46" s="159"/>
      <c r="V46" s="7"/>
      <c r="W46" s="7"/>
      <c r="AE46" s="44"/>
      <c r="AI46" s="40" t="s">
        <v>62</v>
      </c>
    </row>
    <row r="47" spans="2:38" ht="15" customHeight="1">
      <c r="B47" s="32"/>
      <c r="C47" s="27"/>
      <c r="D47" s="159"/>
      <c r="E47" s="28"/>
      <c r="F47" s="38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38"/>
      <c r="T47" s="28"/>
      <c r="U47" s="159"/>
      <c r="V47" s="7"/>
      <c r="W47" s="7"/>
      <c r="AI47" s="40"/>
    </row>
    <row r="48" spans="2:38" ht="20.100000000000001" customHeight="1">
      <c r="B48" s="32"/>
      <c r="C48" s="18"/>
      <c r="D48" s="158"/>
      <c r="E48" s="37"/>
      <c r="F48" s="38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38"/>
      <c r="T48" s="37"/>
      <c r="U48" s="159"/>
      <c r="V48" s="7"/>
      <c r="W48" s="7"/>
      <c r="AI48" s="40" t="s">
        <v>43</v>
      </c>
      <c r="AJ48" s="40">
        <f>IF(AB62=0,"",AB62)</f>
        <v>1.3</v>
      </c>
      <c r="AK48" s="40"/>
      <c r="AL48" s="40"/>
    </row>
    <row r="49" spans="2:93" ht="20.100000000000001" customHeight="1">
      <c r="B49" s="45"/>
      <c r="C49" s="18"/>
      <c r="D49" s="158"/>
      <c r="E49" s="37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7"/>
      <c r="U49" s="159"/>
      <c r="V49" s="7"/>
      <c r="W49" s="7"/>
      <c r="AH49" s="46"/>
      <c r="AI49" s="40" t="s">
        <v>50</v>
      </c>
      <c r="AJ49" s="40">
        <f>IF(AB62=0,"",(AJ51*AJ52-AJ50*AJ52)/(AJ48-AJ50))</f>
        <v>13.423547925135113</v>
      </c>
      <c r="AK49" s="40"/>
      <c r="AL49" s="40"/>
    </row>
    <row r="50" spans="2:93" ht="20.100000000000001" customHeight="1">
      <c r="B50" s="45"/>
      <c r="C50" s="10"/>
      <c r="D50" s="159"/>
      <c r="E50" s="37"/>
      <c r="F50" s="38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38"/>
      <c r="T50" s="28"/>
      <c r="U50" s="159"/>
      <c r="V50" s="7"/>
      <c r="W50" s="7"/>
      <c r="AH50" s="40"/>
      <c r="AI50" s="40" t="s">
        <v>53</v>
      </c>
      <c r="AJ50" s="40">
        <f>IF(AB62=0,"",pж)</f>
        <v>0.88</v>
      </c>
      <c r="AK50" s="40"/>
      <c r="AL50" s="40"/>
    </row>
    <row r="51" spans="2:93" ht="20.100000000000001" customHeight="1">
      <c r="B51" s="7"/>
      <c r="C51" s="7"/>
      <c r="D51" s="159"/>
      <c r="E51" s="28"/>
      <c r="F51" s="38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38"/>
      <c r="T51" s="28"/>
      <c r="U51" s="159"/>
      <c r="V51" s="7"/>
      <c r="W51" s="7"/>
      <c r="AH51" s="40"/>
      <c r="AI51" s="40" t="s">
        <v>45</v>
      </c>
      <c r="AJ51" s="40">
        <f>IF(AB62=0,"",SG)</f>
        <v>1.1467889908256881</v>
      </c>
      <c r="AK51" s="40"/>
      <c r="AL51" s="40"/>
    </row>
    <row r="52" spans="2:93" ht="20.100000000000001" customHeight="1">
      <c r="B52" s="7"/>
      <c r="C52" s="47"/>
      <c r="D52" s="159"/>
      <c r="E52" s="28"/>
      <c r="F52" s="38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38"/>
      <c r="T52" s="28"/>
      <c r="U52" s="159"/>
      <c r="V52" s="7"/>
      <c r="W52" s="7"/>
      <c r="AH52" s="40"/>
      <c r="AI52" s="40" t="s">
        <v>77</v>
      </c>
      <c r="AJ52" s="40">
        <f>IF(AB62=0,"",Vнкт+Vзатр+Vзум)</f>
        <v>21.132394223269781</v>
      </c>
      <c r="AK52" s="40"/>
      <c r="AL52" s="40"/>
    </row>
    <row r="53" spans="2:93" ht="20.100000000000001" customHeight="1">
      <c r="D53" s="158"/>
      <c r="E53" s="37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7"/>
      <c r="U53" s="159"/>
      <c r="V53" s="7"/>
      <c r="W53" s="7"/>
      <c r="AH53" s="40"/>
      <c r="AI53" s="40"/>
      <c r="AJ53" s="48"/>
      <c r="AK53" s="40"/>
      <c r="AL53" s="40"/>
    </row>
    <row r="54" spans="2:93" ht="20.100000000000001" customHeight="1">
      <c r="B54" s="39"/>
      <c r="C54" s="7"/>
      <c r="D54" s="159"/>
      <c r="E54" s="28"/>
      <c r="F54" s="38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38"/>
      <c r="T54" s="28"/>
      <c r="U54" s="159"/>
      <c r="V54" s="7"/>
      <c r="W54" s="7"/>
      <c r="AH54" s="40"/>
      <c r="AI54" s="40"/>
      <c r="AJ54" s="40">
        <f>'Расчет глушение'!ВНК</f>
        <v>0.88</v>
      </c>
      <c r="AK54" s="40"/>
      <c r="AL54" s="40"/>
    </row>
    <row r="55" spans="2:93" ht="20.100000000000001" customHeight="1">
      <c r="B55" s="7"/>
      <c r="C55" s="7"/>
      <c r="D55" s="159"/>
      <c r="E55" s="28"/>
      <c r="F55" s="38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38"/>
      <c r="T55" s="28"/>
      <c r="U55" s="159"/>
      <c r="V55" s="7"/>
      <c r="W55" s="7"/>
      <c r="AH55" s="40"/>
      <c r="AI55" s="40"/>
      <c r="AJ55" s="40"/>
      <c r="AK55" s="40"/>
      <c r="AL55" s="40"/>
    </row>
    <row r="56" spans="2:93" ht="20.100000000000001" customHeight="1">
      <c r="B56" s="7"/>
      <c r="C56" s="7"/>
      <c r="D56" s="159"/>
      <c r="E56" s="28"/>
      <c r="F56" s="38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38"/>
      <c r="T56" s="28"/>
      <c r="U56" s="159"/>
      <c r="V56" s="7"/>
      <c r="W56" s="7"/>
      <c r="AH56" s="40"/>
      <c r="AI56" s="40"/>
      <c r="AJ56" s="40"/>
      <c r="AK56" s="40"/>
      <c r="AL56" s="40"/>
    </row>
    <row r="57" spans="2:93" ht="20.100000000000001" customHeight="1">
      <c r="B57" s="7"/>
      <c r="C57" s="47"/>
      <c r="D57" s="159"/>
      <c r="E57" s="28"/>
      <c r="F57" s="38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38"/>
      <c r="T57" s="28"/>
      <c r="U57" s="159"/>
      <c r="V57" s="47"/>
      <c r="W57" s="7"/>
      <c r="AH57" s="40"/>
      <c r="AI57" s="40"/>
      <c r="AJ57" s="40"/>
      <c r="AK57" s="40"/>
      <c r="AL57" s="40"/>
    </row>
    <row r="58" spans="2:93" ht="20.100000000000001" customHeight="1">
      <c r="B58" s="39"/>
      <c r="C58" s="49"/>
      <c r="D58" s="191"/>
      <c r="E58" s="28"/>
      <c r="F58" s="38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38"/>
      <c r="T58" s="28"/>
      <c r="U58" s="191"/>
      <c r="V58" s="10">
        <f>ВНК</f>
        <v>0.88</v>
      </c>
      <c r="W58" s="51" t="s">
        <v>58</v>
      </c>
      <c r="AD58" s="7"/>
      <c r="AH58" s="40"/>
      <c r="AI58" s="40"/>
      <c r="AJ58" s="40"/>
      <c r="AK58" s="40"/>
      <c r="AL58" s="40"/>
    </row>
    <row r="59" spans="2:93" ht="20.100000000000001" customHeight="1">
      <c r="B59" s="7"/>
      <c r="C59" s="47"/>
      <c r="D59" s="159"/>
      <c r="E59" s="28"/>
      <c r="F59" s="38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38"/>
      <c r="T59" s="28"/>
      <c r="U59" s="159"/>
      <c r="V59" s="10">
        <f>Рпл</f>
        <v>150</v>
      </c>
      <c r="W59" s="51" t="s">
        <v>67</v>
      </c>
      <c r="Z59" s="12" t="s">
        <v>55</v>
      </c>
      <c r="AA59" s="52"/>
      <c r="AC59" s="53"/>
      <c r="AD59" s="7"/>
      <c r="AH59" s="40"/>
      <c r="AI59" s="40"/>
      <c r="AJ59" s="40"/>
      <c r="AK59" s="40"/>
      <c r="AL59" s="40"/>
    </row>
    <row r="60" spans="2:93" ht="20.100000000000001" customHeight="1">
      <c r="D60" s="159"/>
      <c r="E60" s="28"/>
      <c r="F60" s="38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38"/>
      <c r="T60" s="28"/>
      <c r="U60" s="159"/>
      <c r="V60" s="7"/>
      <c r="W60" s="7"/>
      <c r="Z60" s="54" t="s">
        <v>52</v>
      </c>
      <c r="AA60" s="52"/>
      <c r="AB60" s="55">
        <f>AJ39</f>
        <v>1.1677500204657332</v>
      </c>
      <c r="AC60" s="56" t="s">
        <v>11</v>
      </c>
      <c r="AD60" s="7"/>
      <c r="AH60" s="40"/>
      <c r="AI60" s="40"/>
      <c r="AJ60" s="40"/>
      <c r="AK60" s="40"/>
      <c r="AL60" s="40"/>
    </row>
    <row r="61" spans="2:93" ht="20.100000000000001" customHeight="1">
      <c r="D61" s="159"/>
      <c r="E61" s="28"/>
      <c r="F61" s="38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38"/>
      <c r="T61" s="28"/>
      <c r="U61" s="159"/>
      <c r="V61" s="7"/>
      <c r="W61" s="7"/>
      <c r="AB61" s="57" t="str">
        <f>IF(AB60&gt;1.2,"Невозможно глушение одним циклом","")</f>
        <v/>
      </c>
      <c r="AC61" s="58"/>
      <c r="AD61" s="7"/>
      <c r="AH61" s="40"/>
      <c r="AI61" s="40"/>
      <c r="AJ61" s="40"/>
      <c r="AK61" s="40"/>
      <c r="AL61" s="40"/>
    </row>
    <row r="62" spans="2:93" ht="20.100000000000001" customHeight="1">
      <c r="D62" s="159"/>
      <c r="E62" s="28"/>
      <c r="F62" s="38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38"/>
      <c r="T62" s="28"/>
      <c r="U62" s="159"/>
      <c r="V62" s="7"/>
      <c r="W62" s="7"/>
      <c r="Z62" s="40" t="s">
        <v>68</v>
      </c>
      <c r="AB62" s="60">
        <v>1.3</v>
      </c>
      <c r="AC62" s="40" t="s">
        <v>11</v>
      </c>
      <c r="AD62" s="7"/>
      <c r="AH62" s="40"/>
      <c r="AI62" s="40"/>
      <c r="AJ62" s="40"/>
      <c r="AK62" s="40"/>
      <c r="AL62" s="40"/>
    </row>
    <row r="63" spans="2:93" ht="20.100000000000001" customHeight="1">
      <c r="D63" s="159"/>
      <c r="E63" s="28"/>
      <c r="F63" s="38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38"/>
      <c r="T63" s="28"/>
      <c r="U63" s="159"/>
      <c r="V63" s="7"/>
      <c r="W63" s="7"/>
      <c r="Z63" s="40" t="s">
        <v>47</v>
      </c>
      <c r="AB63" s="48">
        <f>IF(AB62="","",AJ49)</f>
        <v>13.423547925135113</v>
      </c>
      <c r="AC63" s="40" t="s">
        <v>4</v>
      </c>
      <c r="AD63" s="7"/>
      <c r="AH63" s="40"/>
    </row>
    <row r="64" spans="2:93" ht="20.100000000000001" customHeight="1">
      <c r="B64" s="61"/>
      <c r="C64" s="59"/>
      <c r="D64" s="192"/>
      <c r="E64" s="447"/>
      <c r="F64" s="447"/>
      <c r="G64" s="447"/>
      <c r="H64" s="447"/>
      <c r="I64" s="447"/>
      <c r="J64" s="447"/>
      <c r="K64" s="447"/>
      <c r="L64" s="447"/>
      <c r="M64" s="447"/>
      <c r="N64" s="447"/>
      <c r="O64" s="447"/>
      <c r="P64" s="447"/>
      <c r="Q64" s="447"/>
      <c r="R64" s="447"/>
      <c r="S64" s="447"/>
      <c r="T64" s="447"/>
      <c r="U64" s="159"/>
      <c r="V64" s="7"/>
      <c r="W64" s="15"/>
      <c r="Z64" s="3" t="s">
        <v>69</v>
      </c>
      <c r="AB64" s="48"/>
      <c r="AC64" s="40"/>
      <c r="AD64" s="7"/>
      <c r="AH64" s="40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  <c r="BM64" s="46"/>
      <c r="BV64" s="46"/>
      <c r="BW64" s="46"/>
      <c r="BX64" s="46"/>
      <c r="BY64" s="46"/>
      <c r="BZ64" s="46"/>
      <c r="CA64" s="46"/>
      <c r="CB64" s="46"/>
      <c r="CC64" s="46"/>
      <c r="CD64" s="46"/>
      <c r="CE64" s="46"/>
      <c r="CF64" s="46"/>
      <c r="CG64" s="46"/>
      <c r="CH64" s="46"/>
      <c r="CI64" s="46"/>
      <c r="CJ64" s="46"/>
      <c r="CK64" s="46"/>
      <c r="CL64" s="46"/>
      <c r="CM64" s="46"/>
      <c r="CN64" s="46"/>
      <c r="CO64" s="46"/>
    </row>
    <row r="65" spans="2:93" ht="20.100000000000001" customHeight="1">
      <c r="B65" s="451" t="s">
        <v>86</v>
      </c>
      <c r="C65" s="451"/>
      <c r="D65" s="451"/>
      <c r="E65" s="451"/>
      <c r="F65" s="451"/>
      <c r="G65" s="451"/>
      <c r="H65" s="451"/>
      <c r="I65" s="451"/>
      <c r="J65" s="451"/>
      <c r="K65" s="451"/>
      <c r="L65" s="451"/>
      <c r="M65" s="451"/>
      <c r="N65" s="451"/>
      <c r="O65" s="451"/>
      <c r="P65" s="451"/>
      <c r="Q65" s="451"/>
      <c r="R65" s="451"/>
      <c r="S65" s="451"/>
      <c r="T65" s="451"/>
      <c r="U65" s="451"/>
      <c r="V65" s="451"/>
      <c r="W65" s="451"/>
      <c r="X65" s="451"/>
      <c r="Y65" s="451"/>
      <c r="Z65" s="451"/>
      <c r="AA65" s="451" t="s">
        <v>96</v>
      </c>
      <c r="AB65" s="451"/>
      <c r="AC65" s="451"/>
      <c r="AD65" s="451"/>
      <c r="AH65" s="62"/>
      <c r="AK65" s="5"/>
      <c r="AL65" s="63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  <c r="BM65" s="46"/>
      <c r="BV65" s="46"/>
      <c r="BW65" s="46"/>
      <c r="BX65" s="46"/>
      <c r="BY65" s="46"/>
      <c r="BZ65" s="46"/>
      <c r="CA65" s="46"/>
      <c r="CB65" s="46"/>
      <c r="CC65" s="46"/>
      <c r="CD65" s="46"/>
      <c r="CE65" s="46"/>
      <c r="CF65" s="46"/>
      <c r="CG65" s="46"/>
      <c r="CH65" s="46"/>
      <c r="CI65" s="46"/>
      <c r="CJ65" s="46"/>
      <c r="CK65" s="46"/>
      <c r="CL65" s="46"/>
      <c r="CM65" s="46"/>
      <c r="CN65" s="46"/>
      <c r="CO65" s="46"/>
    </row>
    <row r="66" spans="2:93" ht="20.100000000000001" customHeight="1">
      <c r="B66" s="64"/>
      <c r="C66" s="7"/>
      <c r="D66" s="64" t="s">
        <v>14</v>
      </c>
      <c r="E66" s="450"/>
      <c r="F66" s="450"/>
      <c r="G66" s="450"/>
      <c r="H66" s="450"/>
      <c r="I66" s="450"/>
      <c r="J66" s="450"/>
      <c r="K66" s="450"/>
      <c r="L66" s="450"/>
      <c r="M66" s="450"/>
      <c r="N66" s="450"/>
      <c r="O66" s="450"/>
      <c r="P66" s="450"/>
      <c r="Q66" s="450"/>
      <c r="R66" s="450"/>
      <c r="S66" s="450"/>
      <c r="T66" s="450"/>
      <c r="U66" s="64" t="s">
        <v>18</v>
      </c>
      <c r="W66" s="64" t="s">
        <v>19</v>
      </c>
      <c r="Y66" s="64" t="s">
        <v>20</v>
      </c>
      <c r="AA66" s="11" t="s">
        <v>87</v>
      </c>
      <c r="AB66" s="11"/>
      <c r="AC66" s="65">
        <f>CEILING(IF(Vнкт/расход&gt;=(Нт-Нсп)/2.4,1,Vгл/(Vнкт+Vзатр)),1)</f>
        <v>2</v>
      </c>
      <c r="AD66" s="66"/>
      <c r="AH66" s="62"/>
      <c r="AK66" s="46"/>
      <c r="AL66" s="63"/>
      <c r="AM66" s="46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Z66" s="46"/>
      <c r="BA66" s="46"/>
      <c r="BB66" s="46"/>
      <c r="BC66" s="46"/>
      <c r="BD66" s="46"/>
      <c r="BE66" s="46"/>
      <c r="BF66" s="46"/>
      <c r="BG66" s="46"/>
      <c r="BH66" s="46"/>
      <c r="BI66" s="46"/>
      <c r="BJ66" s="46"/>
      <c r="BK66" s="46"/>
      <c r="BL66" s="46"/>
      <c r="BM66" s="46"/>
      <c r="BV66" s="46"/>
      <c r="BW66" s="46"/>
      <c r="BX66" s="46"/>
      <c r="BY66" s="46"/>
      <c r="BZ66" s="46"/>
      <c r="CA66" s="46"/>
      <c r="CB66" s="46"/>
      <c r="CC66" s="46"/>
      <c r="CD66" s="46"/>
      <c r="CE66" s="46"/>
      <c r="CF66" s="46"/>
      <c r="CG66" s="46"/>
      <c r="CH66" s="46"/>
      <c r="CI66" s="46"/>
      <c r="CJ66" s="46"/>
      <c r="CK66" s="46"/>
      <c r="CL66" s="46"/>
      <c r="CM66" s="46"/>
      <c r="CN66" s="46"/>
      <c r="CO66" s="46"/>
    </row>
    <row r="67" spans="2:93" ht="20.100000000000001" customHeight="1">
      <c r="B67" s="9" t="s">
        <v>31</v>
      </c>
      <c r="E67" s="452" t="s">
        <v>4</v>
      </c>
      <c r="F67" s="452"/>
      <c r="G67" s="452"/>
      <c r="H67" s="452"/>
      <c r="I67" s="452"/>
      <c r="J67" s="452"/>
      <c r="K67" s="452"/>
      <c r="L67" s="452"/>
      <c r="M67" s="452"/>
      <c r="N67" s="452"/>
      <c r="O67" s="452"/>
      <c r="P67" s="452"/>
      <c r="Q67" s="452"/>
      <c r="R67" s="452"/>
      <c r="S67" s="452"/>
      <c r="T67" s="452"/>
      <c r="V67" s="14" t="s">
        <v>4</v>
      </c>
      <c r="X67" s="14" t="s">
        <v>4</v>
      </c>
      <c r="Z67" s="14" t="s">
        <v>4</v>
      </c>
      <c r="AA67" s="67" t="s">
        <v>88</v>
      </c>
      <c r="AB67" s="68"/>
      <c r="AC67" s="69">
        <f>IF(AND(Yзадан&lt;&gt;"",КЦзадан="х"),VYзадан+10%*VYзадан,IF(КЦзадан="х",(Vзатр+Vнкт)*1.1,IF(КЦ_обр_цикл=1,Vгл+ЗЖ,IF(AND(КЦ_обр_цикл=2,Vзум&gt;Vзатр),Vзум,IF(КЦ_обр_цикл=2,Vзатр,IF(КЦ_обр_цикл=3,Vнкт+Vзатр,Vнкт+Vзатр))))))</f>
        <v>15.366315066871074</v>
      </c>
      <c r="AD67" s="69" t="s">
        <v>4</v>
      </c>
      <c r="AH67" s="62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Z67" s="46"/>
      <c r="BA67" s="46"/>
      <c r="BB67" s="46"/>
      <c r="BC67" s="46"/>
      <c r="BD67" s="46"/>
      <c r="BE67" s="46"/>
      <c r="BF67" s="46"/>
      <c r="BG67" s="46"/>
      <c r="BH67" s="46"/>
      <c r="BI67" s="46"/>
      <c r="BJ67" s="46"/>
      <c r="BK67" s="46"/>
      <c r="BL67" s="46"/>
      <c r="BM67" s="46"/>
      <c r="BV67" s="46"/>
      <c r="BW67" s="46"/>
      <c r="BX67" s="46"/>
      <c r="BY67" s="46"/>
      <c r="BZ67" s="46"/>
      <c r="CA67" s="46"/>
      <c r="CB67" s="46"/>
      <c r="CC67" s="46"/>
      <c r="CD67" s="46"/>
      <c r="CE67" s="46"/>
      <c r="CF67" s="46"/>
      <c r="CG67" s="46"/>
      <c r="CH67" s="46"/>
      <c r="CI67" s="46"/>
      <c r="CJ67" s="46"/>
      <c r="CK67" s="46"/>
      <c r="CL67" s="46"/>
      <c r="CM67" s="46"/>
      <c r="CN67" s="46"/>
      <c r="CO67" s="46"/>
    </row>
    <row r="68" spans="2:93" ht="20.100000000000001" customHeight="1">
      <c r="B68" s="39"/>
      <c r="D68" s="10"/>
      <c r="E68" s="449"/>
      <c r="F68" s="449"/>
      <c r="G68" s="449"/>
      <c r="H68" s="449"/>
      <c r="I68" s="449"/>
      <c r="J68" s="449"/>
      <c r="K68" s="449"/>
      <c r="L68" s="449"/>
      <c r="M68" s="449"/>
      <c r="N68" s="449"/>
      <c r="O68" s="449"/>
      <c r="P68" s="449"/>
      <c r="Q68" s="449"/>
      <c r="R68" s="449"/>
      <c r="S68" s="449"/>
      <c r="T68" s="449"/>
      <c r="U68" s="10"/>
      <c r="V68" s="14"/>
      <c r="W68" s="10"/>
      <c r="X68" s="14"/>
      <c r="Y68" s="10"/>
      <c r="Z68" s="14"/>
      <c r="AA68" s="68" t="s">
        <v>97</v>
      </c>
      <c r="AB68" s="68"/>
      <c r="AC68" s="70">
        <f>IF(ПЦ="","",Кц_обр_цирк/расход)</f>
        <v>67.992544543677312</v>
      </c>
      <c r="AD68" s="71" t="s">
        <v>98</v>
      </c>
      <c r="AJ68" s="63"/>
      <c r="AK68" s="63"/>
      <c r="AL68" s="63"/>
      <c r="AM68" s="63"/>
      <c r="AN68" s="63"/>
      <c r="AO68" s="46"/>
      <c r="AP68" s="46"/>
      <c r="AQ68" s="46"/>
      <c r="AR68" s="46"/>
      <c r="AS68" s="46"/>
      <c r="AT68" s="46"/>
      <c r="AU68" s="46"/>
      <c r="AV68" s="46"/>
      <c r="AW68" s="46"/>
      <c r="AZ68" s="46"/>
      <c r="BA68" s="46"/>
      <c r="BB68" s="46"/>
      <c r="BC68" s="46"/>
      <c r="BD68" s="46"/>
      <c r="BE68" s="46"/>
      <c r="BF68" s="46"/>
      <c r="BG68" s="46"/>
      <c r="BH68" s="46"/>
      <c r="BI68" s="46"/>
      <c r="BJ68" s="46"/>
      <c r="BK68" s="46"/>
      <c r="BL68" s="46"/>
      <c r="BM68" s="46"/>
      <c r="BV68" s="46"/>
      <c r="BW68" s="46"/>
      <c r="BX68" s="46"/>
      <c r="CA68" s="46"/>
      <c r="CB68" s="46"/>
      <c r="CC68" s="46"/>
      <c r="CD68" s="46"/>
      <c r="CE68" s="46"/>
      <c r="CF68" s="46"/>
      <c r="CG68" s="46"/>
      <c r="CH68" s="46"/>
      <c r="CI68" s="46"/>
      <c r="CJ68" s="46"/>
      <c r="CK68" s="46"/>
      <c r="CL68" s="46"/>
      <c r="CM68" s="46"/>
      <c r="CN68" s="46"/>
      <c r="CO68" s="46"/>
    </row>
    <row r="69" spans="2:93" ht="20.100000000000001" customHeight="1">
      <c r="B69" s="9" t="s">
        <v>48</v>
      </c>
      <c r="E69" s="452" t="s">
        <v>23</v>
      </c>
      <c r="F69" s="452"/>
      <c r="G69" s="452"/>
      <c r="H69" s="452"/>
      <c r="I69" s="452"/>
      <c r="J69" s="452"/>
      <c r="K69" s="452"/>
      <c r="L69" s="452"/>
      <c r="M69" s="452"/>
      <c r="N69" s="452"/>
      <c r="O69" s="452"/>
      <c r="P69" s="452"/>
      <c r="Q69" s="452"/>
      <c r="R69" s="452"/>
      <c r="S69" s="452"/>
      <c r="T69" s="452"/>
      <c r="V69" s="14" t="s">
        <v>23</v>
      </c>
      <c r="X69" s="14" t="s">
        <v>23</v>
      </c>
      <c r="Z69" s="14" t="s">
        <v>23</v>
      </c>
      <c r="AA69" s="72" t="s">
        <v>92</v>
      </c>
      <c r="AB69" s="73"/>
      <c r="AC69" s="74">
        <f>IF(КЦ_обр_цикл=1,"",IF(КЦ_обр_цикл&gt;2,Нсп/0.04/3600,(Нт-Нсп)/0.04/3600))</f>
        <v>0.69444444444444442</v>
      </c>
      <c r="AD69" s="75" t="s">
        <v>8</v>
      </c>
      <c r="AI69" s="68"/>
      <c r="AJ69" s="68"/>
      <c r="AK69" s="76"/>
      <c r="AL69" s="76"/>
      <c r="AM69" s="46"/>
      <c r="AN69" s="46"/>
      <c r="AO69" s="46"/>
      <c r="AP69" s="46"/>
      <c r="AQ69" s="46"/>
      <c r="AR69" s="46"/>
      <c r="AS69" s="46"/>
      <c r="AT69" s="46"/>
      <c r="AU69" s="46"/>
      <c r="AV69" s="46"/>
      <c r="AW69" s="46"/>
      <c r="AZ69" s="46"/>
      <c r="BA69" s="46"/>
      <c r="BB69" s="46"/>
      <c r="BC69" s="46"/>
      <c r="BD69" s="46"/>
      <c r="BE69" s="46"/>
      <c r="BF69" s="46"/>
      <c r="BG69" s="46"/>
      <c r="BH69" s="46"/>
      <c r="BI69" s="46"/>
      <c r="BJ69" s="46"/>
      <c r="BK69" s="46"/>
      <c r="BL69" s="46"/>
      <c r="BM69" s="46"/>
      <c r="BV69" s="46"/>
      <c r="BW69" s="46"/>
      <c r="BX69" s="46"/>
      <c r="CA69" s="46"/>
      <c r="CB69" s="46"/>
      <c r="CC69" s="46"/>
      <c r="CD69" s="46"/>
      <c r="CE69" s="46"/>
      <c r="CF69" s="46"/>
      <c r="CG69" s="46"/>
      <c r="CH69" s="46"/>
      <c r="CI69" s="46"/>
      <c r="CJ69" s="46"/>
      <c r="CK69" s="46"/>
      <c r="CL69" s="46"/>
      <c r="CM69" s="46"/>
      <c r="CN69" s="46"/>
      <c r="CO69" s="46"/>
    </row>
    <row r="70" spans="2:93" ht="20.100000000000001" customHeight="1">
      <c r="B70" s="39"/>
      <c r="D70" s="7"/>
      <c r="E70" s="448"/>
      <c r="F70" s="448"/>
      <c r="G70" s="448"/>
      <c r="H70" s="448"/>
      <c r="I70" s="448"/>
      <c r="J70" s="448"/>
      <c r="K70" s="448"/>
      <c r="L70" s="448"/>
      <c r="M70" s="448"/>
      <c r="N70" s="448"/>
      <c r="O70" s="448"/>
      <c r="P70" s="448"/>
      <c r="Q70" s="448"/>
      <c r="R70" s="448"/>
      <c r="S70" s="448"/>
      <c r="T70" s="448"/>
      <c r="U70" s="7"/>
      <c r="V70" s="14"/>
      <c r="W70" s="7"/>
      <c r="X70" s="14"/>
      <c r="Y70" s="7"/>
      <c r="Z70" s="14"/>
      <c r="AA70" s="67" t="s">
        <v>89</v>
      </c>
      <c r="AB70" s="77"/>
      <c r="AC70" s="69">
        <f>IF(КЦ_обр_цикл=1,"",IF(КЦ_обр_цикл=2,IF(ПЦ_обр=Vзатр,(Vзум+Vнкт)+ЗЖ,(Vнкт+Vзатр)+ЗЖ),IF(AND(оКЦ&lt;3,оКЦ&gt;2),Vзум-Vнкт-Vзатр,IF(КЦ_обр_цикл=3,Vзум,Vнкт+Vзатр))))</f>
        <v>7.8793185787256856</v>
      </c>
      <c r="AD70" s="69" t="s">
        <v>4</v>
      </c>
      <c r="AI70" s="78"/>
      <c r="AJ70" s="5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46"/>
      <c r="AV70" s="46"/>
      <c r="AW70" s="46"/>
      <c r="AZ70" s="46"/>
      <c r="BA70" s="46"/>
      <c r="BB70" s="46"/>
      <c r="BC70" s="46"/>
      <c r="BD70" s="46"/>
      <c r="BE70" s="46"/>
      <c r="BF70" s="46"/>
      <c r="BG70" s="46"/>
      <c r="BH70" s="46"/>
      <c r="BI70" s="46"/>
      <c r="BJ70" s="46"/>
      <c r="BK70" s="46"/>
      <c r="BL70" s="46"/>
      <c r="BM70" s="46"/>
      <c r="BV70" s="46"/>
      <c r="BW70" s="46"/>
      <c r="BX70" s="46"/>
      <c r="CA70" s="46"/>
      <c r="CB70" s="46"/>
      <c r="CC70" s="46"/>
      <c r="CD70" s="46"/>
      <c r="CE70" s="46"/>
      <c r="CF70" s="46"/>
      <c r="CG70" s="46"/>
      <c r="CH70" s="46"/>
      <c r="CI70" s="46"/>
      <c r="CJ70" s="46"/>
      <c r="CK70" s="46"/>
      <c r="CL70" s="46"/>
      <c r="CM70" s="46"/>
      <c r="CN70" s="46"/>
      <c r="CO70" s="46"/>
    </row>
    <row r="71" spans="2:93" s="68" customFormat="1" ht="20.100000000000001" customHeight="1">
      <c r="B71" s="9" t="s">
        <v>34</v>
      </c>
      <c r="C71" s="1"/>
      <c r="E71" s="452" t="s">
        <v>10</v>
      </c>
      <c r="F71" s="452"/>
      <c r="G71" s="452"/>
      <c r="H71" s="452"/>
      <c r="I71" s="452"/>
      <c r="J71" s="452"/>
      <c r="K71" s="452"/>
      <c r="L71" s="452"/>
      <c r="M71" s="452"/>
      <c r="N71" s="452"/>
      <c r="O71" s="452"/>
      <c r="P71" s="452"/>
      <c r="Q71" s="452"/>
      <c r="R71" s="452"/>
      <c r="S71" s="452"/>
      <c r="T71" s="452"/>
      <c r="V71" s="14" t="s">
        <v>10</v>
      </c>
      <c r="X71" s="14" t="s">
        <v>10</v>
      </c>
      <c r="Z71" s="14" t="s">
        <v>10</v>
      </c>
      <c r="AA71" s="68" t="s">
        <v>97</v>
      </c>
      <c r="AC71" s="79">
        <f>IF(пПЦ_обр_цирк="","",пПЦ_обр_цирк/расход)</f>
        <v>34.864241498786221</v>
      </c>
      <c r="AD71" s="71" t="s">
        <v>98</v>
      </c>
      <c r="AI71" s="1"/>
      <c r="AJ71" s="17"/>
      <c r="AK71" s="46"/>
      <c r="AL71" s="46"/>
      <c r="AM71" s="76"/>
      <c r="AN71" s="80"/>
      <c r="AO71" s="76"/>
      <c r="AP71" s="76"/>
      <c r="AQ71" s="76"/>
      <c r="AR71" s="76"/>
      <c r="AS71" s="76"/>
      <c r="AT71" s="76"/>
      <c r="AU71" s="76"/>
      <c r="AV71" s="76"/>
      <c r="AW71" s="76"/>
      <c r="AZ71" s="46"/>
      <c r="BA71" s="46"/>
      <c r="BB71" s="46"/>
      <c r="BC71" s="46"/>
      <c r="BD71" s="46"/>
      <c r="BE71" s="46"/>
      <c r="BF71" s="46"/>
      <c r="BG71" s="46"/>
      <c r="BH71" s="46"/>
      <c r="BI71" s="46"/>
      <c r="BJ71" s="46"/>
      <c r="BK71" s="46"/>
      <c r="BL71" s="46"/>
      <c r="BM71" s="46"/>
      <c r="BV71" s="46"/>
      <c r="BW71" s="46"/>
      <c r="BX71" s="46"/>
      <c r="CA71" s="76"/>
      <c r="CB71" s="76"/>
      <c r="CC71" s="76"/>
      <c r="CD71" s="76"/>
      <c r="CE71" s="76"/>
      <c r="CF71" s="76"/>
      <c r="CG71" s="76"/>
      <c r="CH71" s="76"/>
      <c r="CI71" s="76"/>
      <c r="CJ71" s="76"/>
      <c r="CK71" s="76"/>
      <c r="CL71" s="76"/>
      <c r="CM71" s="76"/>
      <c r="CN71" s="76"/>
      <c r="CO71" s="76"/>
    </row>
    <row r="72" spans="2:93" ht="19.5" customHeight="1">
      <c r="B72" s="39"/>
      <c r="D72" s="7"/>
      <c r="E72" s="448"/>
      <c r="F72" s="448"/>
      <c r="G72" s="448"/>
      <c r="H72" s="448"/>
      <c r="I72" s="448"/>
      <c r="J72" s="448"/>
      <c r="K72" s="448"/>
      <c r="L72" s="448"/>
      <c r="M72" s="448"/>
      <c r="N72" s="448"/>
      <c r="O72" s="448"/>
      <c r="P72" s="448"/>
      <c r="Q72" s="448"/>
      <c r="R72" s="448"/>
      <c r="S72" s="448"/>
      <c r="T72" s="448"/>
      <c r="U72" s="7"/>
      <c r="V72" s="7"/>
      <c r="W72" s="7"/>
      <c r="X72" s="7"/>
      <c r="Y72" s="7"/>
      <c r="Z72" s="7"/>
      <c r="AA72" s="72" t="s">
        <v>92</v>
      </c>
      <c r="AB72" s="73"/>
      <c r="AC72" s="74" t="str">
        <f>IF(КЦ_обр_цикл&lt;=2,"",Нсп/0.04/3600)</f>
        <v/>
      </c>
      <c r="AD72" s="75" t="s">
        <v>8</v>
      </c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  <c r="AW72" s="46"/>
      <c r="AZ72" s="46"/>
      <c r="BA72" s="46"/>
      <c r="BB72" s="46"/>
      <c r="BC72" s="46"/>
      <c r="BD72" s="46"/>
      <c r="BE72" s="46"/>
      <c r="BF72" s="46"/>
      <c r="BG72" s="46"/>
      <c r="BH72" s="46"/>
      <c r="BI72" s="46"/>
      <c r="BJ72" s="46"/>
      <c r="BK72" s="46"/>
      <c r="BL72" s="46"/>
      <c r="BM72" s="46"/>
      <c r="BV72" s="46"/>
      <c r="BW72" s="46"/>
      <c r="BX72" s="46"/>
      <c r="CA72" s="46"/>
      <c r="CB72" s="46"/>
      <c r="CC72" s="46"/>
      <c r="CD72" s="46"/>
      <c r="CE72" s="46"/>
      <c r="CF72" s="46"/>
      <c r="CG72" s="46"/>
      <c r="CH72" s="46"/>
      <c r="CI72" s="46"/>
      <c r="CJ72" s="46"/>
      <c r="CK72" s="46"/>
      <c r="CL72" s="46"/>
      <c r="CM72" s="46"/>
      <c r="CN72" s="46"/>
      <c r="CO72" s="46"/>
    </row>
    <row r="73" spans="2:93" ht="19.5" customHeight="1">
      <c r="B73" s="9" t="s">
        <v>91</v>
      </c>
      <c r="E73" s="452" t="s">
        <v>8</v>
      </c>
      <c r="F73" s="452"/>
      <c r="G73" s="452"/>
      <c r="H73" s="452"/>
      <c r="I73" s="452"/>
      <c r="J73" s="452"/>
      <c r="K73" s="452"/>
      <c r="L73" s="452"/>
      <c r="M73" s="452"/>
      <c r="N73" s="452"/>
      <c r="O73" s="452"/>
      <c r="P73" s="452"/>
      <c r="Q73" s="452"/>
      <c r="R73" s="452"/>
      <c r="S73" s="452"/>
      <c r="T73" s="452"/>
      <c r="V73" s="14" t="s">
        <v>8</v>
      </c>
      <c r="X73" s="14" t="s">
        <v>8</v>
      </c>
      <c r="Z73" s="14" t="s">
        <v>8</v>
      </c>
      <c r="AA73" s="67" t="s">
        <v>90</v>
      </c>
      <c r="AB73" s="81"/>
      <c r="AC73" s="69" t="str">
        <f>IF(КЦ_обр_цикл=1,"",IF(КЦ_обр_цикл=2,"",IF(КЦ_обр_цикл=3,(Vнкт+Vзатр)+ЗЖ,IF(AND(оКЦ&lt;4,оКЦ&gt;3),Vзум-ПЦ-ВЦ,Vнкт+Vзатр))))</f>
        <v/>
      </c>
      <c r="AD73" s="69" t="s">
        <v>4</v>
      </c>
      <c r="AF73" s="82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  <c r="AW73" s="46"/>
      <c r="AZ73" s="46"/>
      <c r="BA73" s="46"/>
      <c r="BB73" s="46"/>
      <c r="BC73" s="46"/>
      <c r="BD73" s="46"/>
      <c r="BE73" s="46"/>
      <c r="BF73" s="46"/>
      <c r="BG73" s="46"/>
      <c r="BH73" s="46"/>
      <c r="BI73" s="46"/>
      <c r="BJ73" s="46"/>
      <c r="BK73" s="46"/>
      <c r="BL73" s="46"/>
      <c r="BM73" s="46"/>
      <c r="BN73" s="46"/>
      <c r="BV73" s="46"/>
      <c r="BW73" s="46"/>
      <c r="BX73" s="46"/>
      <c r="BY73" s="46"/>
      <c r="CA73" s="46"/>
      <c r="CB73" s="46"/>
      <c r="CC73" s="46"/>
      <c r="CD73" s="46"/>
      <c r="CE73" s="46"/>
      <c r="CF73" s="46"/>
      <c r="CG73" s="46"/>
      <c r="CH73" s="46"/>
      <c r="CI73" s="46"/>
      <c r="CJ73" s="46"/>
      <c r="CK73" s="46"/>
      <c r="CL73" s="46"/>
      <c r="CM73" s="46"/>
      <c r="CN73" s="46"/>
      <c r="CO73" s="46"/>
    </row>
    <row r="74" spans="2:93" ht="19.5" customHeight="1">
      <c r="B74" s="9"/>
      <c r="D74" s="7"/>
      <c r="E74" s="452"/>
      <c r="F74" s="452"/>
      <c r="G74" s="452"/>
      <c r="H74" s="452"/>
      <c r="I74" s="452"/>
      <c r="J74" s="452"/>
      <c r="K74" s="452"/>
      <c r="L74" s="452"/>
      <c r="M74" s="452"/>
      <c r="N74" s="452"/>
      <c r="O74" s="452"/>
      <c r="P74" s="452"/>
      <c r="Q74" s="452"/>
      <c r="R74" s="452"/>
      <c r="S74" s="452"/>
      <c r="T74" s="452"/>
      <c r="U74" s="7"/>
      <c r="V74" s="14"/>
      <c r="W74" s="7"/>
      <c r="X74" s="14"/>
      <c r="Y74" s="7"/>
      <c r="Z74" s="14"/>
      <c r="AA74" s="68" t="s">
        <v>97</v>
      </c>
      <c r="AB74" s="68"/>
      <c r="AC74" s="79" t="str">
        <f>IF(AC73="","",AC73/расход)</f>
        <v/>
      </c>
      <c r="AD74" s="71" t="s">
        <v>98</v>
      </c>
      <c r="AF74" s="82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  <c r="AW74" s="46"/>
      <c r="AZ74" s="46"/>
      <c r="BA74" s="46"/>
      <c r="BB74" s="46"/>
      <c r="BC74" s="46"/>
      <c r="BD74" s="46"/>
      <c r="BE74" s="46"/>
      <c r="BF74" s="46"/>
      <c r="BG74" s="46"/>
      <c r="BH74" s="46"/>
      <c r="BI74" s="46"/>
      <c r="BJ74" s="46"/>
      <c r="BK74" s="46"/>
      <c r="BL74" s="46"/>
      <c r="BM74" s="46"/>
      <c r="BN74" s="46"/>
      <c r="BV74" s="46"/>
      <c r="BW74" s="46"/>
      <c r="BX74" s="46"/>
      <c r="BY74" s="46"/>
      <c r="CA74" s="46"/>
      <c r="CB74" s="46"/>
      <c r="CC74" s="46"/>
      <c r="CD74" s="46"/>
      <c r="CE74" s="46"/>
      <c r="CF74" s="46"/>
      <c r="CG74" s="46"/>
      <c r="CH74" s="46"/>
      <c r="CI74" s="46"/>
      <c r="CJ74" s="46"/>
      <c r="CK74" s="46"/>
      <c r="CL74" s="46"/>
      <c r="CM74" s="46"/>
      <c r="CN74" s="46"/>
      <c r="CO74" s="46"/>
    </row>
    <row r="75" spans="2:93" ht="20.100000000000001" customHeight="1">
      <c r="B75" s="7"/>
      <c r="C75" s="7"/>
      <c r="D75" s="7"/>
      <c r="E75" s="448"/>
      <c r="F75" s="448"/>
      <c r="G75" s="448"/>
      <c r="H75" s="448"/>
      <c r="I75" s="448"/>
      <c r="J75" s="448"/>
      <c r="K75" s="448"/>
      <c r="L75" s="448"/>
      <c r="M75" s="448"/>
      <c r="N75" s="448"/>
      <c r="O75" s="448"/>
      <c r="P75" s="448"/>
      <c r="Q75" s="448"/>
      <c r="R75" s="448"/>
      <c r="S75" s="448"/>
      <c r="T75" s="448"/>
      <c r="U75" s="7"/>
      <c r="W75" s="7"/>
      <c r="Y75" s="7"/>
      <c r="AA75" s="72" t="s">
        <v>92</v>
      </c>
      <c r="AB75" s="68"/>
      <c r="AC75" s="83" t="str">
        <f>IF(КЦ&lt;=3,"",Нсп/0.04/3600)</f>
        <v/>
      </c>
      <c r="AD75" s="75" t="s">
        <v>8</v>
      </c>
      <c r="AF75" s="82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  <c r="AW75" s="46"/>
      <c r="AZ75" s="46"/>
      <c r="BA75" s="46"/>
      <c r="BB75" s="46"/>
      <c r="BC75" s="46"/>
      <c r="BD75" s="46"/>
      <c r="BE75" s="46"/>
      <c r="BF75" s="46"/>
      <c r="BG75" s="46"/>
      <c r="BH75" s="46"/>
      <c r="BI75" s="46"/>
      <c r="BJ75" s="46"/>
      <c r="BK75" s="46"/>
      <c r="BL75" s="46"/>
      <c r="BM75" s="5"/>
      <c r="BN75" s="46"/>
      <c r="BO75" s="46"/>
      <c r="BP75" s="46"/>
      <c r="BQ75" s="46"/>
      <c r="BR75" s="46"/>
      <c r="BS75" s="46"/>
      <c r="BT75" s="46"/>
      <c r="BU75" s="46"/>
      <c r="BV75" s="46"/>
      <c r="BW75" s="46"/>
      <c r="BX75" s="46"/>
      <c r="BY75" s="46"/>
      <c r="BZ75" s="46"/>
      <c r="CA75" s="46"/>
      <c r="CB75" s="46"/>
      <c r="CC75" s="46"/>
      <c r="CD75" s="46"/>
      <c r="CE75" s="46"/>
      <c r="CF75" s="46"/>
      <c r="CG75" s="46"/>
      <c r="CH75" s="46"/>
      <c r="CI75" s="46"/>
      <c r="CJ75" s="46"/>
      <c r="CK75" s="46"/>
      <c r="CL75" s="46"/>
      <c r="CM75" s="46"/>
      <c r="CN75" s="46"/>
      <c r="CO75" s="46"/>
    </row>
    <row r="76" spans="2:93" ht="20.100000000000001" customHeight="1">
      <c r="B76" s="7"/>
      <c r="C76" s="7"/>
      <c r="D76" s="7"/>
      <c r="E76" s="448"/>
      <c r="F76" s="448"/>
      <c r="G76" s="448"/>
      <c r="H76" s="448"/>
      <c r="I76" s="448"/>
      <c r="J76" s="448"/>
      <c r="K76" s="448"/>
      <c r="L76" s="448"/>
      <c r="M76" s="448"/>
      <c r="N76" s="448"/>
      <c r="O76" s="448"/>
      <c r="P76" s="448"/>
      <c r="Q76" s="448"/>
      <c r="R76" s="448"/>
      <c r="S76" s="448"/>
      <c r="T76" s="448"/>
      <c r="U76" s="7"/>
      <c r="W76" s="7"/>
      <c r="Y76" s="7"/>
      <c r="AA76" s="67" t="s">
        <v>93</v>
      </c>
      <c r="AB76" s="81"/>
      <c r="AC76" s="69" t="str">
        <f>IF(КЦ=1,"",IF(КЦ=2,"",IF(КЦ=3,"",(Vнкт+Vзатр)+ЗЖ)))</f>
        <v/>
      </c>
      <c r="AD76" s="69" t="s">
        <v>4</v>
      </c>
      <c r="AF76" s="82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46"/>
      <c r="AV76" s="46"/>
      <c r="AW76" s="46"/>
      <c r="AZ76" s="46"/>
      <c r="BA76" s="46"/>
      <c r="BB76" s="46"/>
      <c r="BC76" s="46"/>
      <c r="BD76" s="46"/>
      <c r="BE76" s="46"/>
      <c r="BF76" s="46"/>
      <c r="BG76" s="46"/>
      <c r="BH76" s="46"/>
      <c r="BI76" s="46"/>
      <c r="BJ76" s="46"/>
      <c r="BK76" s="46"/>
      <c r="BL76" s="46"/>
      <c r="BM76" s="5"/>
      <c r="BN76" s="46"/>
      <c r="BO76" s="46"/>
      <c r="BP76" s="46"/>
      <c r="BQ76" s="46"/>
      <c r="BR76" s="46"/>
      <c r="BS76" s="46"/>
      <c r="BT76" s="46"/>
      <c r="BU76" s="46"/>
      <c r="BV76" s="46"/>
      <c r="BW76" s="46"/>
      <c r="BX76" s="46"/>
      <c r="BY76" s="46"/>
      <c r="BZ76" s="46"/>
      <c r="CA76" s="46"/>
      <c r="CB76" s="46"/>
      <c r="CC76" s="46"/>
      <c r="CD76" s="46"/>
      <c r="CE76" s="46"/>
      <c r="CF76" s="46"/>
      <c r="CG76" s="46"/>
      <c r="CH76" s="46"/>
      <c r="CI76" s="46"/>
      <c r="CJ76" s="46"/>
      <c r="CK76" s="46"/>
      <c r="CL76" s="46"/>
      <c r="CM76" s="46"/>
      <c r="CN76" s="46"/>
      <c r="CO76" s="46"/>
    </row>
    <row r="77" spans="2:93" ht="20.100000000000001" customHeight="1">
      <c r="B77" s="7"/>
      <c r="C77" s="7"/>
      <c r="D77" s="7"/>
      <c r="E77" s="448"/>
      <c r="F77" s="448"/>
      <c r="G77" s="448"/>
      <c r="H77" s="448"/>
      <c r="I77" s="448"/>
      <c r="J77" s="448"/>
      <c r="K77" s="448"/>
      <c r="L77" s="448"/>
      <c r="M77" s="448"/>
      <c r="N77" s="448"/>
      <c r="O77" s="448"/>
      <c r="P77" s="448"/>
      <c r="Q77" s="448"/>
      <c r="R77" s="448"/>
      <c r="S77" s="448"/>
      <c r="T77" s="448"/>
      <c r="U77" s="7"/>
      <c r="W77" s="7"/>
      <c r="Y77" s="15" t="s">
        <v>100</v>
      </c>
      <c r="Z77" s="84" t="s">
        <v>412</v>
      </c>
      <c r="AA77" s="68" t="s">
        <v>97</v>
      </c>
      <c r="AB77" s="81"/>
      <c r="AC77" s="79" t="str">
        <f>IF(AC76="","",AC76/расход)</f>
        <v/>
      </c>
      <c r="AD77" s="71" t="s">
        <v>98</v>
      </c>
      <c r="AF77" s="82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  <c r="AW77" s="46"/>
      <c r="AZ77" s="46"/>
      <c r="BA77" s="46"/>
      <c r="BB77" s="46"/>
      <c r="BC77" s="46"/>
      <c r="BD77" s="46"/>
      <c r="BE77" s="46"/>
      <c r="BF77" s="46"/>
      <c r="BG77" s="46"/>
      <c r="BH77" s="46"/>
      <c r="BI77" s="46"/>
      <c r="BJ77" s="46"/>
      <c r="BK77" s="46"/>
      <c r="BL77" s="46"/>
      <c r="BM77" s="5"/>
      <c r="BN77" s="46"/>
      <c r="BO77" s="46"/>
      <c r="BP77" s="46"/>
      <c r="BQ77" s="46"/>
      <c r="BR77" s="46"/>
      <c r="BS77" s="46"/>
      <c r="BT77" s="46"/>
      <c r="BU77" s="46"/>
      <c r="BV77" s="46"/>
      <c r="BW77" s="46"/>
      <c r="BX77" s="46"/>
      <c r="BY77" s="46"/>
      <c r="BZ77" s="46"/>
      <c r="CA77" s="46"/>
      <c r="CB77" s="46"/>
      <c r="CC77" s="46"/>
      <c r="CD77" s="46"/>
      <c r="CE77" s="46"/>
      <c r="CF77" s="46"/>
      <c r="CG77" s="46"/>
      <c r="CH77" s="46"/>
      <c r="CI77" s="46"/>
      <c r="CJ77" s="46"/>
      <c r="CK77" s="46"/>
      <c r="CL77" s="46"/>
      <c r="CM77" s="46"/>
      <c r="CN77" s="46"/>
      <c r="CO77" s="46"/>
    </row>
    <row r="78" spans="2:93" ht="20.100000000000001" customHeight="1">
      <c r="B78" s="85"/>
      <c r="C78" s="85"/>
      <c r="D78" s="85"/>
      <c r="E78" s="467"/>
      <c r="F78" s="467"/>
      <c r="G78" s="467"/>
      <c r="H78" s="467"/>
      <c r="I78" s="467"/>
      <c r="J78" s="467"/>
      <c r="K78" s="467"/>
      <c r="L78" s="467"/>
      <c r="M78" s="467"/>
      <c r="N78" s="467"/>
      <c r="O78" s="467"/>
      <c r="P78" s="467"/>
      <c r="Q78" s="467"/>
      <c r="R78" s="467"/>
      <c r="S78" s="467"/>
      <c r="T78" s="467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F78" s="82"/>
      <c r="AK78" s="46"/>
      <c r="AL78" s="46"/>
      <c r="AM78" s="46"/>
      <c r="AO78" s="46"/>
      <c r="AP78" s="46"/>
      <c r="AQ78" s="46"/>
      <c r="AR78" s="46"/>
      <c r="AS78" s="46"/>
      <c r="AT78" s="46"/>
      <c r="AU78" s="46"/>
      <c r="AV78" s="46"/>
      <c r="AW78" s="46"/>
      <c r="AZ78" s="86"/>
      <c r="BA78" s="86"/>
      <c r="BB78" s="87"/>
      <c r="BC78" s="46"/>
      <c r="BD78" s="46"/>
      <c r="BE78" s="46"/>
      <c r="BF78" s="46"/>
      <c r="BG78" s="46"/>
      <c r="BH78" s="46"/>
      <c r="BI78" s="46"/>
      <c r="BJ78" s="46"/>
      <c r="BK78" s="46"/>
      <c r="BL78" s="46"/>
      <c r="BM78" s="46"/>
      <c r="BN78" s="46"/>
      <c r="BO78" s="46"/>
      <c r="BP78" s="46"/>
      <c r="BQ78" s="46"/>
      <c r="BR78" s="46"/>
      <c r="BS78" s="46"/>
      <c r="BT78" s="46"/>
      <c r="BU78" s="46"/>
      <c r="BV78" s="46"/>
      <c r="BW78" s="46"/>
      <c r="BX78" s="46"/>
      <c r="BY78" s="46"/>
      <c r="BZ78" s="46"/>
      <c r="CA78" s="46"/>
      <c r="CB78" s="46"/>
      <c r="CC78" s="46"/>
      <c r="CD78" s="46"/>
      <c r="CE78" s="46"/>
      <c r="CF78" s="46"/>
      <c r="CG78" s="46"/>
      <c r="CH78" s="46"/>
      <c r="CI78" s="46"/>
      <c r="CJ78" s="46"/>
      <c r="CK78" s="46"/>
      <c r="CL78" s="46"/>
      <c r="CM78" s="46"/>
      <c r="CN78" s="46"/>
      <c r="CO78" s="46"/>
    </row>
    <row r="79" spans="2:93" ht="20.100000000000001" customHeight="1">
      <c r="E79" s="458"/>
      <c r="F79" s="458"/>
      <c r="G79" s="458"/>
      <c r="H79" s="458"/>
      <c r="I79" s="458"/>
      <c r="J79" s="458"/>
      <c r="K79" s="458"/>
      <c r="L79" s="458"/>
      <c r="M79" s="458"/>
      <c r="N79" s="458"/>
      <c r="O79" s="458"/>
      <c r="P79" s="458"/>
      <c r="Q79" s="458"/>
      <c r="R79" s="458"/>
      <c r="S79" s="458"/>
      <c r="T79" s="458"/>
      <c r="CL79" s="46"/>
      <c r="CM79" s="46"/>
      <c r="CN79" s="46"/>
      <c r="CO79" s="46"/>
    </row>
    <row r="80" spans="2:93" ht="20.100000000000001" customHeight="1">
      <c r="B80" s="88"/>
      <c r="C80" s="88"/>
      <c r="D80" s="88"/>
      <c r="E80" s="466"/>
      <c r="F80" s="466"/>
      <c r="G80" s="466"/>
      <c r="H80" s="466"/>
      <c r="I80" s="466"/>
      <c r="J80" s="466"/>
      <c r="K80" s="466"/>
      <c r="L80" s="466"/>
      <c r="M80" s="466"/>
      <c r="N80" s="466"/>
      <c r="O80" s="466"/>
      <c r="P80" s="466"/>
      <c r="Q80" s="466"/>
      <c r="R80" s="466"/>
      <c r="S80" s="466"/>
      <c r="T80" s="466"/>
      <c r="U80" s="88"/>
      <c r="V80" s="88"/>
      <c r="W80" s="88"/>
      <c r="X80" s="88"/>
      <c r="Y80" s="88"/>
      <c r="Z80" s="89" t="s">
        <v>32</v>
      </c>
      <c r="AA80" s="89"/>
      <c r="AB80" s="88"/>
      <c r="AC80" s="88"/>
      <c r="AD80" s="88"/>
      <c r="CL80" s="46"/>
      <c r="CM80" s="46"/>
      <c r="CN80" s="46"/>
      <c r="CO80" s="46"/>
    </row>
    <row r="81" spans="1:93" ht="20.100000000000001" customHeight="1">
      <c r="B81" s="88"/>
      <c r="C81" s="453"/>
      <c r="D81" s="453"/>
      <c r="E81" s="453"/>
      <c r="F81" s="453"/>
      <c r="G81" s="453"/>
      <c r="H81" s="453"/>
      <c r="I81" s="453"/>
      <c r="J81" s="453"/>
      <c r="K81" s="453"/>
      <c r="L81" s="453"/>
      <c r="M81" s="453"/>
      <c r="N81" s="453"/>
      <c r="O81" s="453"/>
      <c r="P81" s="453"/>
      <c r="Q81" s="453"/>
      <c r="R81" s="453"/>
      <c r="S81" s="453"/>
      <c r="T81" s="453"/>
      <c r="U81" s="88"/>
      <c r="V81" s="88"/>
      <c r="W81" s="90"/>
      <c r="X81" s="88"/>
      <c r="Y81" s="465" t="s">
        <v>61</v>
      </c>
      <c r="Z81" s="465"/>
      <c r="AA81" s="465"/>
      <c r="AB81" s="465"/>
      <c r="AC81" s="88"/>
      <c r="AD81" s="88"/>
      <c r="AF81" s="17"/>
      <c r="BL81" s="91"/>
      <c r="BM81" s="91"/>
      <c r="BN81" s="92"/>
      <c r="CL81" s="46"/>
      <c r="CM81" s="46"/>
      <c r="CN81" s="46"/>
      <c r="CO81" s="46"/>
    </row>
    <row r="82" spans="1:93" ht="20.100000000000001" customHeight="1">
      <c r="B82" s="88"/>
      <c r="C82" s="93"/>
      <c r="D82" s="93"/>
      <c r="E82" s="466"/>
      <c r="F82" s="466"/>
      <c r="G82" s="466"/>
      <c r="H82" s="466"/>
      <c r="I82" s="466"/>
      <c r="J82" s="466"/>
      <c r="K82" s="466"/>
      <c r="L82" s="466"/>
      <c r="M82" s="466"/>
      <c r="N82" s="466"/>
      <c r="O82" s="466"/>
      <c r="P82" s="466"/>
      <c r="Q82" s="466"/>
      <c r="R82" s="466"/>
      <c r="S82" s="466"/>
      <c r="T82" s="466"/>
      <c r="U82" s="93"/>
      <c r="V82" s="88"/>
      <c r="W82" s="88"/>
      <c r="X82" s="88"/>
      <c r="Y82" s="88"/>
      <c r="Z82" s="88"/>
      <c r="AA82" s="88"/>
      <c r="AB82" s="88"/>
      <c r="AC82" s="88"/>
      <c r="AD82" s="88"/>
      <c r="AF82" s="17"/>
      <c r="CL82" s="46"/>
      <c r="CM82" s="46"/>
      <c r="CN82" s="46"/>
      <c r="CO82" s="46"/>
    </row>
    <row r="83" spans="1:93" ht="20.100000000000001" customHeight="1">
      <c r="B83" s="88"/>
      <c r="C83" s="88"/>
      <c r="D83" s="88"/>
      <c r="E83" s="466"/>
      <c r="F83" s="466"/>
      <c r="G83" s="466"/>
      <c r="H83" s="466"/>
      <c r="I83" s="466"/>
      <c r="J83" s="466"/>
      <c r="K83" s="466"/>
      <c r="L83" s="466"/>
      <c r="M83" s="466"/>
      <c r="N83" s="466"/>
      <c r="O83" s="466"/>
      <c r="P83" s="466"/>
      <c r="Q83" s="466"/>
      <c r="R83" s="466"/>
      <c r="S83" s="466"/>
      <c r="T83" s="466"/>
      <c r="U83" s="88"/>
      <c r="V83" s="88"/>
      <c r="W83" s="88"/>
      <c r="X83" s="88"/>
      <c r="Y83" s="88"/>
      <c r="Z83" s="453"/>
      <c r="AA83" s="453"/>
      <c r="AB83" s="453"/>
      <c r="AC83" s="88"/>
      <c r="AD83" s="88"/>
      <c r="AF83" s="82"/>
      <c r="CL83" s="46"/>
      <c r="CM83" s="46"/>
      <c r="CN83" s="46"/>
      <c r="CO83" s="46"/>
    </row>
    <row r="84" spans="1:93" ht="20.100000000000001" customHeight="1">
      <c r="B84" s="88"/>
      <c r="C84" s="94"/>
      <c r="D84" s="94"/>
      <c r="E84" s="466"/>
      <c r="F84" s="466"/>
      <c r="G84" s="466"/>
      <c r="H84" s="466"/>
      <c r="I84" s="466"/>
      <c r="J84" s="466"/>
      <c r="K84" s="466"/>
      <c r="L84" s="466"/>
      <c r="M84" s="466"/>
      <c r="N84" s="466"/>
      <c r="O84" s="466"/>
      <c r="P84" s="466"/>
      <c r="Q84" s="466"/>
      <c r="R84" s="466"/>
      <c r="S84" s="466"/>
      <c r="T84" s="466"/>
      <c r="U84" s="94"/>
      <c r="V84" s="88"/>
      <c r="W84" s="88"/>
      <c r="X84" s="88"/>
      <c r="Z84" s="464" t="str">
        <f ca="1">"'___' ___________ "&amp;YEAR(TODAY())&amp;" г."</f>
        <v>'___' ___________ 2024 г.</v>
      </c>
      <c r="AA84" s="464"/>
      <c r="AB84" s="464"/>
      <c r="AC84" s="88"/>
      <c r="AD84" s="88"/>
      <c r="AF84" s="82"/>
    </row>
    <row r="85" spans="1:93" ht="20.100000000000001" customHeight="1">
      <c r="B85" s="88"/>
      <c r="C85" s="95"/>
      <c r="D85" s="256">
        <f>'Расчет глушение'!C4:G4</f>
        <v>0</v>
      </c>
      <c r="E85" s="453"/>
      <c r="F85" s="453"/>
      <c r="G85" s="453"/>
      <c r="H85" s="453"/>
      <c r="I85" s="453"/>
      <c r="J85" s="453"/>
      <c r="K85" s="453"/>
      <c r="L85" s="453"/>
      <c r="M85" s="453"/>
      <c r="N85" s="453"/>
      <c r="O85" s="453"/>
      <c r="P85" s="453"/>
      <c r="Q85" s="453"/>
      <c r="R85" s="453"/>
      <c r="S85" s="453"/>
      <c r="T85" s="453"/>
      <c r="U85" s="95"/>
      <c r="V85" s="88"/>
      <c r="W85" s="88"/>
      <c r="X85" s="88"/>
      <c r="Y85" s="88"/>
      <c r="Z85" s="88"/>
      <c r="AA85" s="88"/>
      <c r="AB85" s="88"/>
      <c r="AC85" s="88"/>
      <c r="AD85" s="88"/>
      <c r="AF85" s="82"/>
    </row>
    <row r="86" spans="1:93" ht="20.100000000000001" customHeight="1">
      <c r="B86" s="463" t="s">
        <v>65</v>
      </c>
      <c r="C86" s="463"/>
      <c r="D86" s="463"/>
      <c r="E86" s="463"/>
      <c r="F86" s="463"/>
      <c r="G86" s="463"/>
      <c r="H86" s="463"/>
      <c r="I86" s="463"/>
      <c r="J86" s="463"/>
      <c r="K86" s="463"/>
      <c r="L86" s="463"/>
      <c r="M86" s="463"/>
      <c r="N86" s="463"/>
      <c r="O86" s="463"/>
      <c r="P86" s="463"/>
      <c r="Q86" s="463"/>
      <c r="R86" s="463"/>
      <c r="S86" s="463"/>
      <c r="T86" s="463"/>
      <c r="U86" s="463"/>
      <c r="V86" s="463"/>
      <c r="W86" s="463"/>
      <c r="X86" s="463"/>
      <c r="Y86" s="463"/>
      <c r="Z86" s="463"/>
      <c r="AA86" s="463"/>
      <c r="AB86" s="463"/>
      <c r="AC86" s="88"/>
      <c r="AD86" s="88"/>
    </row>
    <row r="87" spans="1:93" ht="20.100000000000001" customHeight="1">
      <c r="B87" s="96"/>
      <c r="C87" s="88"/>
      <c r="D87" s="88"/>
      <c r="E87" s="462"/>
      <c r="F87" s="462"/>
      <c r="G87" s="462"/>
      <c r="H87" s="462"/>
      <c r="I87" s="462"/>
      <c r="J87" s="462"/>
      <c r="K87" s="462"/>
      <c r="L87" s="462"/>
      <c r="M87" s="462"/>
      <c r="N87" s="462"/>
      <c r="O87" s="462"/>
      <c r="P87" s="462"/>
      <c r="Q87" s="462"/>
      <c r="R87" s="462"/>
      <c r="S87" s="462"/>
      <c r="T87" s="462"/>
      <c r="U87" s="88"/>
      <c r="V87" s="88"/>
      <c r="W87" s="88"/>
      <c r="X87" s="88"/>
      <c r="Y87" s="88"/>
      <c r="Z87" s="88"/>
      <c r="AA87" s="88"/>
      <c r="AB87" s="88"/>
      <c r="AC87" s="88"/>
      <c r="AD87" s="88"/>
    </row>
    <row r="88" spans="1:93" ht="15" customHeight="1">
      <c r="B88" s="97" t="s">
        <v>36</v>
      </c>
      <c r="C88" s="88"/>
      <c r="D88" s="251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24"/>
      <c r="S88" s="224"/>
      <c r="T88" s="224"/>
      <c r="U88" s="97" t="s">
        <v>35</v>
      </c>
      <c r="V88" s="88"/>
      <c r="W88" s="468"/>
      <c r="X88" s="468"/>
      <c r="Y88" s="98" t="s">
        <v>9</v>
      </c>
      <c r="Z88" s="88"/>
      <c r="AA88" s="455"/>
      <c r="AB88" s="455"/>
      <c r="AC88" s="88"/>
      <c r="AD88" s="88"/>
    </row>
    <row r="89" spans="1:93" ht="12.75" customHeight="1">
      <c r="B89" s="99" t="s">
        <v>6</v>
      </c>
      <c r="C89" s="88"/>
      <c r="D89" s="252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24"/>
      <c r="S89" s="224"/>
      <c r="T89" s="224"/>
      <c r="U89" s="99"/>
      <c r="V89" s="88"/>
      <c r="W89" s="468"/>
      <c r="X89" s="468"/>
      <c r="Y89" s="100"/>
      <c r="Z89" s="88"/>
      <c r="AA89" s="455"/>
      <c r="AB89" s="455"/>
      <c r="AC89" s="101"/>
      <c r="AD89" s="88"/>
    </row>
    <row r="90" spans="1:93" ht="15" customHeight="1">
      <c r="B90" s="97" t="s">
        <v>12</v>
      </c>
      <c r="C90" s="88"/>
      <c r="D90" s="251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24"/>
      <c r="S90" s="224"/>
      <c r="T90" s="224"/>
      <c r="U90" s="97" t="s">
        <v>30</v>
      </c>
      <c r="V90" s="88"/>
      <c r="W90" s="455"/>
      <c r="X90" s="455"/>
      <c r="Y90" s="97" t="s">
        <v>24</v>
      </c>
      <c r="Z90" s="88"/>
      <c r="AA90" s="453">
        <f>Y5</f>
        <v>0</v>
      </c>
      <c r="AB90" s="453"/>
      <c r="AC90" s="88"/>
      <c r="AD90" s="88"/>
    </row>
    <row r="91" spans="1:93" ht="12.75" customHeight="1">
      <c r="B91" s="100" t="s">
        <v>2</v>
      </c>
      <c r="C91" s="101"/>
      <c r="D91" s="252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24"/>
      <c r="S91" s="224"/>
      <c r="T91" s="224"/>
      <c r="U91" s="100"/>
      <c r="V91" s="88"/>
      <c r="W91" s="455"/>
      <c r="X91" s="455"/>
      <c r="Y91" s="100" t="s">
        <v>3</v>
      </c>
      <c r="Z91" s="88"/>
      <c r="AA91" s="453"/>
      <c r="AB91" s="453"/>
      <c r="AC91" s="101"/>
      <c r="AD91" s="88"/>
    </row>
    <row r="92" spans="1:93" ht="15" customHeight="1">
      <c r="B92" s="97" t="s">
        <v>27</v>
      </c>
      <c r="C92" s="88"/>
      <c r="D92" s="251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24"/>
      <c r="S92" s="224"/>
      <c r="T92" s="224"/>
      <c r="U92" s="88"/>
      <c r="V92" s="88"/>
      <c r="W92" s="453"/>
      <c r="X92" s="453"/>
      <c r="Y92" s="97" t="s">
        <v>21</v>
      </c>
      <c r="Z92" s="88"/>
      <c r="AA92" s="455">
        <f>Y6</f>
        <v>0</v>
      </c>
      <c r="AB92" s="455"/>
      <c r="AC92" s="88"/>
      <c r="AD92" s="88"/>
    </row>
    <row r="93" spans="1:93" ht="12.75" customHeight="1">
      <c r="B93" s="100" t="s">
        <v>5</v>
      </c>
      <c r="C93" s="101"/>
      <c r="D93" s="252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24"/>
      <c r="S93" s="224"/>
      <c r="T93" s="224"/>
      <c r="U93" s="88"/>
      <c r="V93" s="88"/>
      <c r="W93" s="453"/>
      <c r="X93" s="453"/>
      <c r="Y93" s="100" t="s">
        <v>13</v>
      </c>
      <c r="Z93" s="88"/>
      <c r="AA93" s="455"/>
      <c r="AB93" s="455"/>
      <c r="AC93" s="101"/>
      <c r="AD93" s="88"/>
      <c r="AQ93" s="17"/>
    </row>
    <row r="94" spans="1:93" s="218" customFormat="1" ht="15">
      <c r="A94" s="218">
        <v>1</v>
      </c>
      <c r="B94" s="220">
        <v>2</v>
      </c>
      <c r="C94" s="218">
        <v>3</v>
      </c>
      <c r="D94" s="253">
        <v>4</v>
      </c>
      <c r="E94" s="218">
        <v>5</v>
      </c>
      <c r="F94" s="220">
        <v>6</v>
      </c>
      <c r="G94" s="218">
        <v>7</v>
      </c>
      <c r="H94" s="220">
        <v>8</v>
      </c>
      <c r="I94" s="218">
        <v>9</v>
      </c>
      <c r="J94" s="220">
        <v>10</v>
      </c>
      <c r="K94" s="218">
        <v>11</v>
      </c>
      <c r="L94" s="220">
        <v>12</v>
      </c>
      <c r="M94" s="218">
        <v>13</v>
      </c>
      <c r="N94" s="220">
        <v>14</v>
      </c>
      <c r="O94" s="218">
        <v>15</v>
      </c>
      <c r="P94" s="220">
        <v>16</v>
      </c>
      <c r="Q94" s="218">
        <v>17</v>
      </c>
      <c r="R94" s="220">
        <v>18</v>
      </c>
      <c r="S94" s="218">
        <v>19</v>
      </c>
      <c r="T94" s="220">
        <v>20</v>
      </c>
      <c r="U94" s="218">
        <v>21</v>
      </c>
      <c r="V94" s="220">
        <v>22</v>
      </c>
      <c r="W94" s="218">
        <v>23</v>
      </c>
      <c r="X94" s="220">
        <v>24</v>
      </c>
      <c r="Y94" s="218">
        <v>25</v>
      </c>
      <c r="Z94" s="220">
        <v>26</v>
      </c>
      <c r="AA94" s="219"/>
      <c r="AB94" s="219"/>
      <c r="AC94" s="220"/>
      <c r="AD94" s="220"/>
    </row>
    <row r="95" spans="1:93" ht="15.6">
      <c r="B95" s="255"/>
      <c r="C95" s="225" t="str">
        <f>"№ "&amp;'Расчет глушение'!C6:G6&amp;", "&amp;'Расчет глушение'!C4:G4&amp;" месторождение"</f>
        <v>№ ,  месторождение</v>
      </c>
      <c r="D95" s="254"/>
      <c r="E95" s="454"/>
      <c r="F95" s="454"/>
      <c r="G95" s="454"/>
      <c r="H95" s="454"/>
      <c r="I95" s="454"/>
      <c r="J95" s="454"/>
      <c r="K95" s="454"/>
      <c r="L95" s="454"/>
      <c r="M95" s="454"/>
      <c r="N95" s="454"/>
      <c r="O95" s="454"/>
      <c r="P95" s="454"/>
      <c r="Q95" s="454"/>
      <c r="R95" s="454"/>
      <c r="S95" s="454"/>
      <c r="T95" s="454"/>
      <c r="U95" s="105"/>
      <c r="V95" s="106"/>
      <c r="W95" s="102"/>
      <c r="X95" s="103"/>
      <c r="Y95" s="104"/>
      <c r="Z95" s="104"/>
      <c r="AA95" s="105"/>
      <c r="AB95" s="105"/>
      <c r="AC95" s="105"/>
      <c r="AD95" s="88"/>
    </row>
    <row r="96" spans="1:93" ht="15">
      <c r="B96" s="88"/>
      <c r="C96" s="226" t="s">
        <v>145</v>
      </c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</row>
    <row r="97" spans="2:42">
      <c r="B97" s="88"/>
      <c r="C97" s="225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  <c r="AB97" s="88"/>
      <c r="AC97" s="88"/>
      <c r="AD97" s="88"/>
    </row>
    <row r="98" spans="2:42" ht="15.6">
      <c r="B98" s="88"/>
      <c r="C98" s="227" t="s">
        <v>25</v>
      </c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24"/>
      <c r="S98" s="224"/>
      <c r="T98" s="224"/>
      <c r="U98" s="224"/>
      <c r="V98" s="224"/>
      <c r="W98" s="224"/>
      <c r="X98" s="224"/>
      <c r="Y98" s="224"/>
      <c r="Z98" s="224"/>
      <c r="AA98" s="224"/>
      <c r="AB98" s="88"/>
      <c r="AC98" s="88"/>
      <c r="AD98" s="88"/>
    </row>
    <row r="99" spans="2:42" ht="15.6">
      <c r="B99" s="107"/>
      <c r="C99" s="228" t="str">
        <f>"1. Завести на скважину жидкость глушения удельного веса "&amp;AD99&amp;AE99&amp;" "&amp;AF99&amp;AG99&amp;" "&amp;AH99</f>
        <v>1. Завести на скважину жидкость глушения удельного веса 1.15 г/см3 в объеме 15.4 м3</v>
      </c>
      <c r="D99" s="108"/>
      <c r="E99" s="108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AC99" s="107"/>
      <c r="AD99" s="109">
        <f>ROUND(IF(КЦзадан="х",Yзадан,SG),2)</f>
        <v>1.1499999999999999</v>
      </c>
      <c r="AE99" s="108" t="s">
        <v>146</v>
      </c>
      <c r="AF99" s="108"/>
      <c r="AG99" s="110">
        <f>ROUND(IF(Z77="+",Кц_обр_цирк,ПЦ),1)</f>
        <v>15.4</v>
      </c>
      <c r="AH99" s="107" t="s">
        <v>4</v>
      </c>
    </row>
    <row r="100" spans="2:42" ht="15">
      <c r="B100" s="107"/>
      <c r="C100" s="229" t="s">
        <v>157</v>
      </c>
      <c r="D100" s="107"/>
      <c r="E100" s="107"/>
      <c r="F100" s="107"/>
      <c r="G100" s="107"/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</row>
    <row r="101" spans="2:42" ht="15">
      <c r="B101" s="107"/>
      <c r="C101" s="229" t="s">
        <v>66</v>
      </c>
      <c r="D101" s="107"/>
      <c r="E101" s="107"/>
      <c r="F101" s="107"/>
      <c r="G101" s="107"/>
      <c r="H101" s="107"/>
      <c r="I101" s="107"/>
      <c r="J101" s="107"/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  <c r="AA101" s="107"/>
      <c r="AB101" s="107"/>
      <c r="AC101" s="107"/>
      <c r="AD101" s="107"/>
    </row>
    <row r="102" spans="2:42" ht="15">
      <c r="B102" s="107"/>
      <c r="C102" s="229" t="str">
        <f>"4. Подбить нагнетательную линию насосного агрегата к лубрикатору, используя не менее 4 шарнирных"&amp;IF(Z77="+"," соединений, на закрытую затрубную задвижку опрессовать нагнетательную линию на 1,5 кратное"," соединений, на закрытую трубную задвижку опрессовать нагнетательную линию на 1,5 кратное")&amp;" давление от ожидаемого: "&amp;AK102&amp;AL102</f>
        <v>4. Подбить нагнетательную линию насосного агрегата к лубрикатору, используя не менее 4 шарнирных соединений, на закрытую затрубную задвижку опрессовать нагнетательную линию на 1,5 кратное давление от ожидаемого: 50 атм.</v>
      </c>
      <c r="D102" s="107"/>
      <c r="E102" s="107"/>
      <c r="F102" s="107"/>
      <c r="G102" s="107"/>
      <c r="H102" s="107"/>
      <c r="I102" s="107"/>
      <c r="J102" s="107"/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  <c r="AA102" s="107"/>
      <c r="AB102" s="107"/>
      <c r="AC102" s="107"/>
      <c r="AD102" s="107"/>
      <c r="AK102" s="111">
        <v>50</v>
      </c>
      <c r="AL102" s="107" t="s">
        <v>147</v>
      </c>
    </row>
    <row r="103" spans="2:42" ht="15">
      <c r="B103" s="107"/>
      <c r="C103" s="229" t="s">
        <v>148</v>
      </c>
      <c r="D103" s="107"/>
      <c r="E103" s="107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12"/>
      <c r="W103" s="107"/>
      <c r="X103" s="107"/>
      <c r="Y103" s="107"/>
      <c r="Z103" s="107"/>
      <c r="AA103" s="107"/>
      <c r="AB103" s="107"/>
      <c r="AC103" s="107"/>
      <c r="AD103" s="107"/>
    </row>
    <row r="104" spans="2:42" ht="15">
      <c r="B104" s="107"/>
      <c r="C104" s="229" t="str">
        <f>"6. Перебить нагнетательную линию насосного агрегата к затрубному пространству, используя не менее 4 шарнирных соединений, на закрытую затрубную задвижку опрессовать нагнетательную линию на 1,5 кратное от ожидаемого "&amp;AN104&amp;AO104&amp;AP104</f>
        <v>6. Перебить нагнетательную линию насосного агрегата к затрубному пространству, используя не менее 4 шарнирных соединений, на закрытую затрубную задвижку опрессовать нагнетательную линию на 1,5 кратное от ожидаемого 100 атм, стравить давление.</v>
      </c>
      <c r="D104" s="107"/>
      <c r="E104" s="107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  <c r="AA104" s="107"/>
      <c r="AB104" s="107"/>
      <c r="AC104" s="107"/>
      <c r="AD104" s="107"/>
      <c r="AN104" s="111">
        <v>100</v>
      </c>
      <c r="AO104" s="107" t="s">
        <v>149</v>
      </c>
      <c r="AP104" s="107" t="s">
        <v>160</v>
      </c>
    </row>
    <row r="105" spans="2:42" ht="15">
      <c r="B105" s="107"/>
      <c r="C105" s="229" t="s">
        <v>150</v>
      </c>
      <c r="D105" s="107"/>
      <c r="E105" s="107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12"/>
      <c r="W105" s="107"/>
      <c r="X105" s="107"/>
      <c r="Y105" s="107"/>
      <c r="Z105" s="107"/>
      <c r="AA105" s="107"/>
      <c r="AB105" s="107"/>
      <c r="AC105" s="107"/>
      <c r="AD105" s="107"/>
    </row>
    <row r="106" spans="2:42" ht="15">
      <c r="B106" s="107"/>
      <c r="C106" s="229" t="s">
        <v>151</v>
      </c>
      <c r="D106" s="107"/>
      <c r="E106" s="107"/>
      <c r="F106" s="107"/>
      <c r="G106" s="107"/>
      <c r="H106" s="107"/>
      <c r="I106" s="107"/>
      <c r="J106" s="107"/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</row>
    <row r="107" spans="2:42" ht="15">
      <c r="B107" s="107"/>
      <c r="C107" s="229"/>
      <c r="D107" s="107"/>
      <c r="E107" s="107"/>
      <c r="F107" s="107"/>
      <c r="G107" s="107"/>
      <c r="H107" s="107"/>
      <c r="I107" s="107"/>
      <c r="J107" s="107"/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</row>
    <row r="108" spans="2:42" ht="15">
      <c r="B108" s="107"/>
      <c r="C108" s="229"/>
      <c r="D108" s="107"/>
      <c r="F108" s="221"/>
      <c r="G108" s="221"/>
      <c r="H108" s="221"/>
      <c r="I108" s="221"/>
      <c r="J108" s="221"/>
      <c r="K108" s="221"/>
      <c r="L108" s="221"/>
      <c r="M108" s="221"/>
      <c r="N108" s="221"/>
      <c r="O108" s="221"/>
      <c r="P108" s="221"/>
      <c r="Q108" s="221"/>
      <c r="R108" s="221"/>
      <c r="S108" s="221"/>
      <c r="T108" s="221"/>
      <c r="U108" s="221"/>
      <c r="V108" s="232" t="s">
        <v>70</v>
      </c>
      <c r="W108" s="233" t="s">
        <v>15</v>
      </c>
      <c r="X108" s="233" t="s">
        <v>16</v>
      </c>
      <c r="Y108" s="233" t="s">
        <v>17</v>
      </c>
      <c r="Z108" s="234"/>
      <c r="AA108" s="229"/>
      <c r="AB108" s="229"/>
      <c r="AC108" s="229"/>
      <c r="AD108" s="229"/>
    </row>
    <row r="109" spans="2:42" ht="15">
      <c r="B109" s="107"/>
      <c r="C109" s="229"/>
      <c r="D109" s="107"/>
      <c r="F109" s="221"/>
      <c r="G109" s="221"/>
      <c r="H109" s="221"/>
      <c r="I109" s="221"/>
      <c r="J109" s="221"/>
      <c r="K109" s="221"/>
      <c r="L109" s="221"/>
      <c r="M109" s="221"/>
      <c r="N109" s="221"/>
      <c r="O109" s="221"/>
      <c r="P109" s="221"/>
      <c r="Q109" s="221"/>
      <c r="R109" s="221"/>
      <c r="S109" s="221"/>
      <c r="T109" s="221"/>
      <c r="U109" s="221"/>
      <c r="V109" s="232" t="s">
        <v>71</v>
      </c>
      <c r="W109" s="233">
        <v>35</v>
      </c>
      <c r="X109" s="233">
        <v>26</v>
      </c>
      <c r="Y109" s="233">
        <v>21</v>
      </c>
      <c r="Z109" s="234"/>
      <c r="AA109" s="229"/>
      <c r="AB109" s="229"/>
      <c r="AC109" s="229"/>
      <c r="AD109" s="229"/>
    </row>
    <row r="110" spans="2:42" ht="15">
      <c r="B110" s="107"/>
      <c r="C110" s="229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13"/>
      <c r="V110" s="235"/>
      <c r="W110" s="236"/>
      <c r="X110" s="236"/>
      <c r="Y110" s="236"/>
      <c r="Z110" s="236"/>
      <c r="AA110" s="229"/>
      <c r="AB110" s="229"/>
      <c r="AC110" s="229"/>
      <c r="AD110" s="229"/>
    </row>
    <row r="111" spans="2:42" ht="15">
      <c r="B111" s="107"/>
      <c r="C111" s="229" t="s">
        <v>158</v>
      </c>
      <c r="D111" s="107"/>
      <c r="E111" s="107"/>
      <c r="F111" s="107"/>
      <c r="G111" s="107"/>
      <c r="H111" s="107"/>
      <c r="I111" s="107"/>
      <c r="J111" s="107"/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7"/>
      <c r="AA111" s="107"/>
      <c r="AB111" s="107"/>
      <c r="AC111" s="107"/>
      <c r="AD111" s="107"/>
    </row>
    <row r="112" spans="2:42" ht="15">
      <c r="B112" s="88"/>
      <c r="C112" s="229" t="str">
        <f>IF(Z77="+","10. Закачать в затрубное пространство при открытых  трубной и затрубной задвижках, контролируя время закачки","10. Закачать в трубное пространство при открытых  трубной и затрубной задвижках, контролируя время закачки,")&amp;" жидкость глушения, согласно таблице:"</f>
        <v>10. Закачать в затрубное пространство при открытых  трубной и затрубной задвижках, контролируя время закачки жидкость глушения, согласно таблице:</v>
      </c>
      <c r="D112" s="107"/>
      <c r="E112" s="107"/>
      <c r="F112" s="107"/>
      <c r="G112" s="107"/>
      <c r="H112" s="107"/>
      <c r="I112" s="107"/>
      <c r="J112" s="107"/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88"/>
      <c r="X112" s="88"/>
      <c r="Y112" s="88"/>
      <c r="Z112" s="88"/>
      <c r="AA112" s="88"/>
      <c r="AB112" s="88"/>
      <c r="AC112" s="88"/>
      <c r="AD112" s="88"/>
    </row>
    <row r="113" spans="2:38" ht="15">
      <c r="B113" s="88"/>
      <c r="C113" s="229"/>
      <c r="D113" s="88"/>
      <c r="E113" s="88"/>
      <c r="F113" s="88"/>
      <c r="G113" s="88"/>
      <c r="H113" s="88"/>
      <c r="I113" s="88"/>
      <c r="J113" s="88"/>
      <c r="K113" s="88"/>
      <c r="L113" s="88"/>
      <c r="M113" s="88"/>
      <c r="N113" s="88"/>
      <c r="O113" s="88"/>
      <c r="P113" s="88"/>
      <c r="Q113" s="88"/>
      <c r="R113" s="88"/>
      <c r="S113" s="88"/>
      <c r="T113" s="88"/>
      <c r="U113" s="88"/>
      <c r="V113" s="88"/>
      <c r="W113" s="88"/>
      <c r="X113" s="88"/>
      <c r="Y113" s="88"/>
      <c r="Z113" s="88"/>
      <c r="AA113" s="88"/>
      <c r="AB113" s="88"/>
      <c r="AC113" s="88"/>
      <c r="AD113" s="88"/>
    </row>
    <row r="114" spans="2:38" ht="45">
      <c r="B114" s="107"/>
      <c r="C114" s="229"/>
      <c r="D114" s="107"/>
      <c r="E114" s="222"/>
      <c r="F114" s="222"/>
      <c r="G114" s="222"/>
      <c r="H114" s="222"/>
      <c r="I114" s="222"/>
      <c r="J114" s="222"/>
      <c r="K114" s="222"/>
      <c r="L114" s="222"/>
      <c r="M114" s="222"/>
      <c r="N114" s="222"/>
      <c r="O114" s="222"/>
      <c r="P114" s="222"/>
      <c r="Q114" s="222"/>
      <c r="R114" s="222"/>
      <c r="S114" s="222"/>
      <c r="T114" s="222"/>
      <c r="U114" s="237"/>
      <c r="V114" s="237"/>
      <c r="W114" s="237" t="s">
        <v>72</v>
      </c>
      <c r="X114" s="233" t="s">
        <v>28</v>
      </c>
      <c r="Y114" s="238" t="s">
        <v>51</v>
      </c>
      <c r="Z114" s="237"/>
      <c r="AA114" s="229"/>
      <c r="AB114" s="229"/>
      <c r="AC114" s="229"/>
      <c r="AD114" s="229"/>
    </row>
    <row r="115" spans="2:38" ht="15.6">
      <c r="B115" s="107"/>
      <c r="C115" s="229"/>
      <c r="D115" s="107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23"/>
      <c r="S115" s="223"/>
      <c r="T115" s="223"/>
      <c r="U115" s="239"/>
      <c r="V115" s="239"/>
      <c r="W115" s="239" t="s">
        <v>73</v>
      </c>
      <c r="X115" s="244">
        <f>ROUND(IF(Z77="+",Кц_обр_цирк,ПЦ),2)</f>
        <v>15.37</v>
      </c>
      <c r="Y115" s="245">
        <f>ROUND(X115/расход,2)</f>
        <v>68.010000000000005</v>
      </c>
      <c r="Z115" s="240"/>
      <c r="AA115" s="229"/>
      <c r="AB115" s="229"/>
      <c r="AC115" s="229"/>
      <c r="AD115" s="229"/>
    </row>
    <row r="116" spans="2:38" ht="15">
      <c r="B116" s="107"/>
      <c r="C116" s="229"/>
      <c r="D116" s="107"/>
      <c r="E116" s="107"/>
      <c r="F116" s="107"/>
      <c r="G116" s="107"/>
      <c r="H116" s="107"/>
      <c r="I116" s="107"/>
      <c r="J116" s="107"/>
      <c r="K116" s="107"/>
      <c r="L116" s="107"/>
      <c r="M116" s="107"/>
      <c r="N116" s="107"/>
      <c r="O116" s="107"/>
      <c r="P116" s="107"/>
      <c r="Q116" s="107"/>
      <c r="R116" s="107"/>
      <c r="S116" s="107"/>
      <c r="T116" s="107"/>
      <c r="U116" s="229"/>
      <c r="V116" s="229"/>
      <c r="W116" s="229"/>
      <c r="X116" s="229"/>
      <c r="Y116" s="229"/>
      <c r="Z116" s="229"/>
      <c r="AA116" s="229"/>
      <c r="AB116" s="229"/>
      <c r="AC116" s="225"/>
      <c r="AD116" s="225"/>
    </row>
    <row r="117" spans="2:38" ht="15.6">
      <c r="B117" s="107"/>
      <c r="C117" s="229" t="str">
        <f>"11. Закрыть задвижки, оставить скважину закрытой на время замещения раствора"&amp;IF(AA117&lt;&gt;"-"," не менее чем на "&amp;AA117&amp;" часов.",".")</f>
        <v>11. Закрыть задвижки, оставить скважину закрытой на время замещения раствора не менее чем на 0.69 часов.</v>
      </c>
      <c r="D117" s="107"/>
      <c r="E117" s="107"/>
      <c r="F117" s="107"/>
      <c r="G117" s="107"/>
      <c r="H117" s="107"/>
      <c r="I117" s="107"/>
      <c r="J117" s="107"/>
      <c r="K117" s="107"/>
      <c r="L117" s="107"/>
      <c r="M117" s="107"/>
      <c r="N117" s="107"/>
      <c r="O117" s="107"/>
      <c r="P117" s="107"/>
      <c r="Q117" s="107"/>
      <c r="R117" s="107"/>
      <c r="S117" s="107"/>
      <c r="T117" s="107"/>
      <c r="U117" s="229"/>
      <c r="V117" s="229"/>
      <c r="W117" s="229"/>
      <c r="X117" s="229"/>
      <c r="Y117" s="229"/>
      <c r="Z117" s="229"/>
      <c r="AA117" s="241">
        <f>IF(Z77="+",ROUND(ПЦ_обр_цирк,2),пПЦ)</f>
        <v>0.69</v>
      </c>
      <c r="AB117" s="229" t="s">
        <v>22</v>
      </c>
      <c r="AC117" s="229"/>
      <c r="AD117" s="229"/>
    </row>
    <row r="118" spans="2:38">
      <c r="B118" s="88"/>
      <c r="C118" s="225"/>
      <c r="D118" s="88"/>
      <c r="E118" s="88"/>
      <c r="F118" s="88"/>
      <c r="G118" s="88"/>
      <c r="H118" s="88"/>
      <c r="I118" s="88"/>
      <c r="J118" s="88"/>
      <c r="K118" s="88"/>
      <c r="L118" s="88"/>
      <c r="M118" s="88"/>
      <c r="N118" s="88"/>
      <c r="O118" s="88"/>
      <c r="P118" s="88"/>
      <c r="Q118" s="88"/>
      <c r="R118" s="88"/>
      <c r="S118" s="88"/>
      <c r="T118" s="88"/>
      <c r="U118" s="225"/>
      <c r="V118" s="225"/>
      <c r="W118" s="225"/>
      <c r="X118" s="225"/>
      <c r="Y118" s="225"/>
      <c r="Z118" s="225"/>
      <c r="AA118" s="225"/>
      <c r="AB118" s="225"/>
      <c r="AC118" s="225"/>
      <c r="AD118" s="225"/>
    </row>
    <row r="119" spans="2:38" ht="17.399999999999999">
      <c r="B119" s="89"/>
      <c r="C119" s="230" t="s">
        <v>26</v>
      </c>
      <c r="D119" s="89"/>
      <c r="E119" s="89"/>
      <c r="F119" s="89"/>
      <c r="G119" s="89"/>
      <c r="H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230"/>
      <c r="V119" s="230"/>
      <c r="W119" s="230"/>
      <c r="X119" s="230"/>
      <c r="Y119" s="230"/>
      <c r="Z119" s="230"/>
      <c r="AA119" s="230"/>
      <c r="AB119" s="230"/>
      <c r="AC119" s="230"/>
      <c r="AD119" s="230"/>
    </row>
    <row r="120" spans="2:38" ht="15.6">
      <c r="B120" s="107"/>
      <c r="C120" s="231" t="str">
        <f>"1. Завести на скважину жидкость глушения"&amp;IF(X120&lt;&gt;""," удельного веса "&amp;X120&amp;Y120&amp;AA120&amp;AB120&amp;".",".")</f>
        <v>1. Завести на скважину жидкость глушения.</v>
      </c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231"/>
      <c r="V120" s="231"/>
      <c r="W120" s="231"/>
      <c r="X120" s="242" t="str">
        <f>IF(КЦ=1,"",SG)</f>
        <v/>
      </c>
      <c r="Y120" s="231" t="s">
        <v>163</v>
      </c>
      <c r="Z120" s="231"/>
      <c r="AA120" s="241">
        <f>ROUND(IF(Z77="+",AC70,пПЦ_обр_цирк),1)</f>
        <v>7.9</v>
      </c>
      <c r="AB120" s="229" t="s">
        <v>4</v>
      </c>
      <c r="AC120" s="229"/>
      <c r="AD120" s="229"/>
    </row>
    <row r="121" spans="2:38" ht="15">
      <c r="B121" s="107"/>
      <c r="C121" s="229" t="s">
        <v>159</v>
      </c>
      <c r="D121" s="107"/>
      <c r="E121" s="107"/>
      <c r="F121" s="107"/>
      <c r="G121" s="107"/>
      <c r="H121" s="107"/>
      <c r="I121" s="107"/>
      <c r="J121" s="107"/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229"/>
      <c r="V121" s="229"/>
      <c r="W121" s="229"/>
      <c r="X121" s="229"/>
      <c r="Y121" s="229"/>
      <c r="Z121" s="229"/>
      <c r="AA121" s="229"/>
      <c r="AB121" s="229"/>
      <c r="AC121" s="229"/>
      <c r="AD121" s="229"/>
    </row>
    <row r="122" spans="2:38" ht="15">
      <c r="B122" s="107"/>
      <c r="C122" s="229" t="str">
        <f>"3. Подбить нагнетательную линию насосного агрегата к трубному пространству, используя не менее 4 шарнирных"&amp;IF(Z77="+"," соединений, на закрытую затрубную задвижку опрессовать нагнетательную линию на 1,5 кратное"," соединений, на закрытую трубную задвижку опрессовать нагнетательную линию на 1,5 кратное")&amp;" давление от ожидаемого "&amp;AK122&amp;AL122</f>
        <v>3. Подбить нагнетательную линию насосного агрегата к трубному пространству, используя не менее 4 шарнирных соединений, на закрытую затрубную задвижку опрессовать нагнетательную линию на 1,5 кратное давление от ожидаемого 50 атм.</v>
      </c>
      <c r="D122" s="107"/>
      <c r="E122" s="107"/>
      <c r="F122" s="107"/>
      <c r="G122" s="107"/>
      <c r="H122" s="107"/>
      <c r="I122" s="107"/>
      <c r="J122" s="107"/>
      <c r="K122" s="107"/>
      <c r="L122" s="107"/>
      <c r="M122" s="107"/>
      <c r="N122" s="107"/>
      <c r="O122" s="107"/>
      <c r="P122" s="107"/>
      <c r="Q122" s="107"/>
      <c r="R122" s="107"/>
      <c r="S122" s="107"/>
      <c r="T122" s="107"/>
      <c r="U122" s="229"/>
      <c r="V122" s="229"/>
      <c r="W122" s="229"/>
      <c r="X122" s="229"/>
      <c r="Y122" s="229"/>
      <c r="Z122" s="229"/>
      <c r="AA122" s="229"/>
      <c r="AB122" s="229"/>
      <c r="AC122" s="229"/>
      <c r="AD122" s="229"/>
      <c r="AK122" s="111">
        <v>50</v>
      </c>
      <c r="AL122" s="107" t="s">
        <v>147</v>
      </c>
    </row>
    <row r="123" spans="2:38" ht="15">
      <c r="B123" s="88"/>
      <c r="C123" s="229" t="s">
        <v>161</v>
      </c>
      <c r="D123" s="107"/>
      <c r="E123" s="107"/>
      <c r="F123" s="107"/>
      <c r="G123" s="107"/>
      <c r="H123" s="107"/>
      <c r="I123" s="107"/>
      <c r="J123" s="107"/>
      <c r="K123" s="107"/>
      <c r="L123" s="107"/>
      <c r="M123" s="107"/>
      <c r="N123" s="107"/>
      <c r="O123" s="107"/>
      <c r="P123" s="107"/>
      <c r="Q123" s="107"/>
      <c r="R123" s="107"/>
      <c r="S123" s="107"/>
      <c r="T123" s="107"/>
      <c r="U123" s="229"/>
      <c r="V123" s="229"/>
      <c r="W123" s="229"/>
      <c r="X123" s="229"/>
      <c r="Y123" s="229"/>
      <c r="Z123" s="229"/>
      <c r="AA123" s="229"/>
      <c r="AB123" s="229"/>
      <c r="AC123" s="225"/>
      <c r="AD123" s="225"/>
    </row>
    <row r="124" spans="2:38" ht="15">
      <c r="B124" s="88"/>
      <c r="C124" s="229"/>
      <c r="D124" s="107"/>
      <c r="E124" s="107"/>
      <c r="F124" s="107"/>
      <c r="G124" s="107"/>
      <c r="H124" s="107"/>
      <c r="I124" s="107"/>
      <c r="J124" s="107"/>
      <c r="K124" s="107"/>
      <c r="L124" s="107"/>
      <c r="M124" s="107"/>
      <c r="N124" s="107"/>
      <c r="O124" s="107"/>
      <c r="P124" s="107"/>
      <c r="Q124" s="107"/>
      <c r="R124" s="107"/>
      <c r="S124" s="107"/>
      <c r="T124" s="107"/>
      <c r="U124" s="229"/>
      <c r="V124" s="229"/>
      <c r="W124" s="229"/>
      <c r="X124" s="229"/>
      <c r="Y124" s="229"/>
      <c r="Z124" s="229"/>
      <c r="AA124" s="229"/>
      <c r="AB124" s="229"/>
      <c r="AC124" s="225"/>
      <c r="AD124" s="225"/>
    </row>
    <row r="125" spans="2:38" ht="15">
      <c r="B125" s="88"/>
      <c r="C125" s="229"/>
      <c r="D125" s="107"/>
      <c r="F125" s="221"/>
      <c r="G125" s="221"/>
      <c r="H125" s="221"/>
      <c r="I125" s="221"/>
      <c r="J125" s="221"/>
      <c r="K125" s="221"/>
      <c r="L125" s="221"/>
      <c r="M125" s="221"/>
      <c r="N125" s="221"/>
      <c r="O125" s="221"/>
      <c r="P125" s="221"/>
      <c r="Q125" s="221"/>
      <c r="R125" s="221"/>
      <c r="S125" s="221"/>
      <c r="T125" s="221"/>
      <c r="U125" s="232"/>
      <c r="V125" s="232" t="s">
        <v>70</v>
      </c>
      <c r="W125" s="233" t="s">
        <v>15</v>
      </c>
      <c r="X125" s="233" t="s">
        <v>16</v>
      </c>
      <c r="Y125" s="233" t="s">
        <v>17</v>
      </c>
      <c r="Z125" s="232"/>
      <c r="AA125" s="229"/>
      <c r="AB125" s="229"/>
      <c r="AC125" s="225"/>
      <c r="AD125" s="225"/>
    </row>
    <row r="126" spans="2:38" ht="15">
      <c r="B126" s="88"/>
      <c r="C126" s="229"/>
      <c r="D126" s="107"/>
      <c r="F126" s="221"/>
      <c r="G126" s="221"/>
      <c r="H126" s="221"/>
      <c r="I126" s="221"/>
      <c r="J126" s="221"/>
      <c r="K126" s="221"/>
      <c r="L126" s="221"/>
      <c r="M126" s="221"/>
      <c r="N126" s="221"/>
      <c r="O126" s="221"/>
      <c r="P126" s="221"/>
      <c r="Q126" s="221"/>
      <c r="R126" s="221"/>
      <c r="S126" s="221"/>
      <c r="T126" s="221"/>
      <c r="U126" s="232"/>
      <c r="V126" s="232" t="s">
        <v>71</v>
      </c>
      <c r="W126" s="233">
        <v>35</v>
      </c>
      <c r="X126" s="233">
        <v>26</v>
      </c>
      <c r="Y126" s="233">
        <v>21</v>
      </c>
      <c r="Z126" s="232"/>
      <c r="AA126" s="229"/>
      <c r="AB126" s="229"/>
      <c r="AC126" s="225"/>
      <c r="AD126" s="225"/>
    </row>
    <row r="127" spans="2:38" ht="15">
      <c r="B127" s="88"/>
      <c r="C127" s="229"/>
      <c r="D127" s="107"/>
      <c r="E127" s="221"/>
      <c r="F127" s="221"/>
      <c r="G127" s="221"/>
      <c r="H127" s="221"/>
      <c r="I127" s="221"/>
      <c r="J127" s="221"/>
      <c r="K127" s="221"/>
      <c r="L127" s="221"/>
      <c r="M127" s="221"/>
      <c r="N127" s="221"/>
      <c r="O127" s="221"/>
      <c r="P127" s="221"/>
      <c r="Q127" s="221"/>
      <c r="R127" s="221"/>
      <c r="S127" s="221"/>
      <c r="T127" s="221"/>
      <c r="U127" s="232"/>
      <c r="V127" s="232"/>
      <c r="W127" s="232"/>
      <c r="X127" s="232"/>
      <c r="Y127" s="232"/>
      <c r="Z127" s="232"/>
      <c r="AA127" s="229"/>
      <c r="AB127" s="229"/>
      <c r="AC127" s="225"/>
      <c r="AD127" s="225"/>
    </row>
    <row r="128" spans="2:38" ht="15">
      <c r="B128" s="88"/>
      <c r="C128" s="229" t="s">
        <v>162</v>
      </c>
      <c r="D128" s="107"/>
      <c r="E128" s="107"/>
      <c r="F128" s="107"/>
      <c r="G128" s="107"/>
      <c r="H128" s="107"/>
      <c r="I128" s="107"/>
      <c r="J128" s="107"/>
      <c r="K128" s="107"/>
      <c r="L128" s="107"/>
      <c r="M128" s="107"/>
      <c r="N128" s="107"/>
      <c r="O128" s="107"/>
      <c r="P128" s="107"/>
      <c r="Q128" s="107"/>
      <c r="R128" s="107"/>
      <c r="S128" s="107"/>
      <c r="T128" s="107"/>
      <c r="U128" s="229"/>
      <c r="V128" s="229"/>
      <c r="W128" s="225"/>
      <c r="X128" s="225"/>
      <c r="Y128" s="225"/>
      <c r="Z128" s="225"/>
      <c r="AA128" s="225"/>
      <c r="AB128" s="225"/>
      <c r="AC128" s="225"/>
      <c r="AD128" s="225"/>
    </row>
    <row r="129" spans="2:30" ht="15">
      <c r="B129" s="88"/>
      <c r="C129" s="229"/>
      <c r="D129" s="88"/>
      <c r="E129" s="88"/>
      <c r="F129" s="88"/>
      <c r="G129" s="88"/>
      <c r="H129" s="88"/>
      <c r="I129" s="88"/>
      <c r="J129" s="88"/>
      <c r="K129" s="88"/>
      <c r="L129" s="88"/>
      <c r="M129" s="88"/>
      <c r="N129" s="88"/>
      <c r="O129" s="88"/>
      <c r="P129" s="88"/>
      <c r="Q129" s="88"/>
      <c r="R129" s="88"/>
      <c r="S129" s="88"/>
      <c r="T129" s="88"/>
      <c r="U129" s="225"/>
      <c r="V129" s="225"/>
      <c r="W129" s="225"/>
      <c r="X129" s="225"/>
      <c r="Y129" s="225"/>
      <c r="Z129" s="225"/>
      <c r="AA129" s="225"/>
      <c r="AB129" s="225"/>
      <c r="AC129" s="225"/>
      <c r="AD129" s="225"/>
    </row>
    <row r="130" spans="2:30" ht="15" customHeight="1">
      <c r="B130" s="88"/>
      <c r="C130" s="229"/>
      <c r="D130" s="107"/>
      <c r="F130" s="222"/>
      <c r="G130" s="222"/>
      <c r="H130" s="222"/>
      <c r="I130" s="222"/>
      <c r="J130" s="222"/>
      <c r="K130" s="222"/>
      <c r="L130" s="222"/>
      <c r="M130" s="222"/>
      <c r="N130" s="222"/>
      <c r="O130" s="222"/>
      <c r="P130" s="222"/>
      <c r="Q130" s="222"/>
      <c r="R130" s="222"/>
      <c r="S130" s="222"/>
      <c r="T130" s="222"/>
      <c r="U130" s="237"/>
      <c r="V130" s="237"/>
      <c r="W130" s="237" t="s">
        <v>72</v>
      </c>
      <c r="X130" s="232" t="s">
        <v>28</v>
      </c>
      <c r="Y130" s="237" t="s">
        <v>51</v>
      </c>
      <c r="Z130" s="237"/>
      <c r="AA130" s="229"/>
      <c r="AB130" s="229"/>
      <c r="AC130" s="225"/>
      <c r="AD130" s="225"/>
    </row>
    <row r="131" spans="2:30" ht="15" customHeight="1">
      <c r="B131" s="88"/>
      <c r="C131" s="229"/>
      <c r="D131" s="107"/>
      <c r="F131" s="222"/>
      <c r="G131" s="222"/>
      <c r="H131" s="222"/>
      <c r="I131" s="222"/>
      <c r="J131" s="222"/>
      <c r="K131" s="222"/>
      <c r="L131" s="222"/>
      <c r="M131" s="222"/>
      <c r="N131" s="222"/>
      <c r="O131" s="222"/>
      <c r="P131" s="222"/>
      <c r="Q131" s="222"/>
      <c r="R131" s="222"/>
      <c r="S131" s="222"/>
      <c r="T131" s="222"/>
      <c r="U131" s="237"/>
      <c r="V131" s="237"/>
      <c r="W131" s="237" t="s">
        <v>73</v>
      </c>
      <c r="X131" s="246">
        <f>ROUND(AA120,2)</f>
        <v>7.9</v>
      </c>
      <c r="Y131" s="240" t="str">
        <f>IF(КЦ=1,"-",X131/расход)</f>
        <v>-</v>
      </c>
      <c r="Z131" s="240"/>
      <c r="AA131" s="229"/>
      <c r="AB131" s="229"/>
      <c r="AC131" s="225"/>
      <c r="AD131" s="225"/>
    </row>
    <row r="132" spans="2:30">
      <c r="B132" s="88"/>
      <c r="C132" s="225"/>
      <c r="D132" s="88"/>
      <c r="E132" s="88"/>
      <c r="F132" s="88"/>
      <c r="G132" s="88"/>
      <c r="H132" s="88"/>
      <c r="I132" s="88"/>
      <c r="J132" s="88"/>
      <c r="K132" s="88"/>
      <c r="L132" s="88"/>
      <c r="M132" s="88"/>
      <c r="N132" s="88"/>
      <c r="O132" s="88"/>
      <c r="P132" s="88"/>
      <c r="Q132" s="88"/>
      <c r="R132" s="88"/>
      <c r="S132" s="88"/>
      <c r="T132" s="88"/>
      <c r="U132" s="225"/>
      <c r="V132" s="225"/>
      <c r="W132" s="225"/>
      <c r="X132" s="225"/>
      <c r="Y132" s="225"/>
      <c r="Z132" s="225"/>
      <c r="AA132" s="225"/>
      <c r="AB132" s="225"/>
      <c r="AC132" s="225"/>
      <c r="AD132" s="225"/>
    </row>
    <row r="133" spans="2:30" ht="16.5" customHeight="1">
      <c r="B133" s="107"/>
      <c r="C133" s="229" t="s">
        <v>153</v>
      </c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229"/>
      <c r="V133" s="229"/>
      <c r="W133" s="229"/>
      <c r="X133" s="229"/>
      <c r="Y133" s="229"/>
      <c r="Z133" s="229"/>
      <c r="AA133" s="229"/>
      <c r="AB133" s="229"/>
      <c r="AC133" s="229"/>
      <c r="AD133" s="229"/>
    </row>
    <row r="134" spans="2:30" ht="16.5" customHeight="1">
      <c r="B134" s="107"/>
      <c r="C134" s="229" t="s">
        <v>152</v>
      </c>
      <c r="D134" s="107"/>
      <c r="E134" s="107"/>
      <c r="F134" s="107"/>
      <c r="G134" s="107"/>
      <c r="H134" s="107"/>
      <c r="I134" s="107"/>
      <c r="J134" s="107"/>
      <c r="K134" s="107"/>
      <c r="L134" s="107"/>
      <c r="M134" s="107"/>
      <c r="N134" s="107"/>
      <c r="O134" s="107"/>
      <c r="P134" s="107"/>
      <c r="Q134" s="107"/>
      <c r="R134" s="107"/>
      <c r="S134" s="107"/>
      <c r="T134" s="107"/>
      <c r="U134" s="229"/>
      <c r="V134" s="229"/>
      <c r="W134" s="229"/>
      <c r="X134" s="229"/>
      <c r="Y134" s="229"/>
      <c r="Z134" s="229"/>
      <c r="AA134" s="229"/>
      <c r="AB134" s="229"/>
      <c r="AC134" s="229"/>
      <c r="AD134" s="229"/>
    </row>
    <row r="135" spans="2:30" ht="15">
      <c r="B135" s="107"/>
      <c r="C135" s="107"/>
      <c r="D135" s="107"/>
      <c r="E135" s="107"/>
      <c r="F135" s="107"/>
      <c r="G135" s="107"/>
      <c r="H135" s="107"/>
      <c r="I135" s="107"/>
      <c r="J135" s="107"/>
      <c r="K135" s="107"/>
      <c r="L135" s="107"/>
      <c r="M135" s="107"/>
      <c r="N135" s="107"/>
      <c r="O135" s="107"/>
      <c r="P135" s="107"/>
      <c r="Q135" s="107"/>
      <c r="R135" s="107"/>
      <c r="S135" s="107"/>
      <c r="T135" s="107"/>
      <c r="U135" s="229"/>
      <c r="V135" s="229"/>
      <c r="W135" s="229"/>
      <c r="X135" s="229"/>
      <c r="Y135" s="229"/>
      <c r="Z135" s="229"/>
      <c r="AA135" s="229"/>
      <c r="AB135" s="229"/>
      <c r="AC135" s="229"/>
      <c r="AD135" s="229"/>
    </row>
    <row r="136" spans="2:30">
      <c r="B136" s="114"/>
      <c r="C136" s="114" t="str">
        <f>"Должность                                                                           "</f>
        <v xml:space="preserve">Должность                                                                           </v>
      </c>
      <c r="D136" s="114"/>
      <c r="E136" s="114"/>
      <c r="F136" s="114"/>
      <c r="G136" s="114"/>
      <c r="H136" s="114"/>
      <c r="I136" s="114"/>
      <c r="J136" s="114"/>
      <c r="K136" s="114"/>
      <c r="L136" s="114"/>
      <c r="M136" s="114"/>
      <c r="N136" s="114"/>
      <c r="O136" s="114"/>
      <c r="P136" s="114"/>
      <c r="Q136" s="114"/>
      <c r="R136" s="114"/>
      <c r="S136" s="114"/>
      <c r="T136" s="114"/>
      <c r="U136" s="243"/>
      <c r="V136" s="243"/>
      <c r="W136" s="243"/>
      <c r="X136" s="243"/>
      <c r="Y136" s="243"/>
      <c r="Z136" s="243"/>
      <c r="AA136" s="243"/>
      <c r="AB136" s="243"/>
      <c r="AC136" s="243"/>
      <c r="AD136" s="243"/>
    </row>
  </sheetData>
  <protectedRanges>
    <protectedRange password="C559" sqref="Z84" name="Диапазон4_1"/>
    <protectedRange password="C559" sqref="Y4:Z6" name="Диапазон3_1"/>
    <protectedRange password="C559" sqref="U4:V6" name="Диапазон2_1"/>
  </protectedRanges>
  <mergeCells count="59">
    <mergeCell ref="E2:T2"/>
    <mergeCell ref="E15:T15"/>
    <mergeCell ref="E16:T16"/>
    <mergeCell ref="E1:T1"/>
    <mergeCell ref="W4:X4"/>
    <mergeCell ref="D12:T12"/>
    <mergeCell ref="Y4:AA4"/>
    <mergeCell ref="Y5:AA5"/>
    <mergeCell ref="Y6:AA6"/>
    <mergeCell ref="E3:T3"/>
    <mergeCell ref="U5:V5"/>
    <mergeCell ref="W5:X5"/>
    <mergeCell ref="U4:V4"/>
    <mergeCell ref="U6:V6"/>
    <mergeCell ref="W6:X6"/>
    <mergeCell ref="W88:X89"/>
    <mergeCell ref="AA88:AB89"/>
    <mergeCell ref="E74:T74"/>
    <mergeCell ref="E76:T76"/>
    <mergeCell ref="E79:T79"/>
    <mergeCell ref="E84:T84"/>
    <mergeCell ref="E71:T71"/>
    <mergeCell ref="E73:T73"/>
    <mergeCell ref="E75:T75"/>
    <mergeCell ref="E87:T87"/>
    <mergeCell ref="E85:T85"/>
    <mergeCell ref="B86:AB86"/>
    <mergeCell ref="E72:T72"/>
    <mergeCell ref="Z84:AB84"/>
    <mergeCell ref="C81:T81"/>
    <mergeCell ref="Y81:AB81"/>
    <mergeCell ref="Z83:AB83"/>
    <mergeCell ref="E77:T77"/>
    <mergeCell ref="E80:T80"/>
    <mergeCell ref="E78:T78"/>
    <mergeCell ref="E82:T82"/>
    <mergeCell ref="E83:T83"/>
    <mergeCell ref="E17:T17"/>
    <mergeCell ref="E9:T9"/>
    <mergeCell ref="E7:T7"/>
    <mergeCell ref="E19:T19"/>
    <mergeCell ref="E20:T20"/>
    <mergeCell ref="E14:T14"/>
    <mergeCell ref="E18:T18"/>
    <mergeCell ref="E13:T13"/>
    <mergeCell ref="D11:T11"/>
    <mergeCell ref="AA90:AB91"/>
    <mergeCell ref="E95:T95"/>
    <mergeCell ref="W92:X93"/>
    <mergeCell ref="AA92:AB93"/>
    <mergeCell ref="W90:X91"/>
    <mergeCell ref="E64:T64"/>
    <mergeCell ref="E70:T70"/>
    <mergeCell ref="E68:T68"/>
    <mergeCell ref="E66:T66"/>
    <mergeCell ref="AA65:AD65"/>
    <mergeCell ref="B65:Z65"/>
    <mergeCell ref="E69:T69"/>
    <mergeCell ref="E67:T67"/>
  </mergeCells>
  <conditionalFormatting sqref="V9 D8:T9 C10 D11:D12 U10:V12">
    <cfRule type="expression" dxfId="35" priority="61" stopIfTrue="1">
      <formula>$U$9=""</formula>
    </cfRule>
  </conditionalFormatting>
  <conditionalFormatting sqref="AB60">
    <cfRule type="expression" dxfId="34" priority="60" stopIfTrue="1">
      <formula>$AC$59=""</formula>
    </cfRule>
  </conditionalFormatting>
  <conditionalFormatting sqref="AB61">
    <cfRule type="expression" dxfId="33" priority="58" stopIfTrue="1">
      <formula>$AC$59=""</formula>
    </cfRule>
    <cfRule type="expression" dxfId="32" priority="59" stopIfTrue="1">
      <formula>$AB$60&lt;1.2</formula>
    </cfRule>
  </conditionalFormatting>
  <conditionalFormatting sqref="Z62:AC64">
    <cfRule type="expression" dxfId="31" priority="57" stopIfTrue="1">
      <formula>$AC$59=""</formula>
    </cfRule>
  </conditionalFormatting>
  <conditionalFormatting sqref="AC72:AC73 AC67:AD67 AC69:AC70 AC76">
    <cfRule type="expression" dxfId="30" priority="54" stopIfTrue="1">
      <formula>$U$4="Фаинское"</formula>
    </cfRule>
  </conditionalFormatting>
  <conditionalFormatting sqref="W72 V66:V74 U72 X66:X74 Z66:Z74 D72 B66:C74 E66:E74 D66 D68 D70 F66:T73 U66 U68 U70 W66 W68 W70 Y66 Y68 Y70 Y72">
    <cfRule type="expression" dxfId="29" priority="127" stopIfTrue="1">
      <formula>$U$4="Фаинское"</formula>
    </cfRule>
  </conditionalFormatting>
  <conditionalFormatting sqref="AD70">
    <cfRule type="expression" dxfId="28" priority="12">
      <formula>$AC$70=""</formula>
    </cfRule>
    <cfRule type="expression" dxfId="27" priority="24" stopIfTrue="1">
      <formula>$U$4="Фаинское"</formula>
    </cfRule>
  </conditionalFormatting>
  <conditionalFormatting sqref="AD73">
    <cfRule type="expression" dxfId="26" priority="18">
      <formula>$AC$73=""</formula>
    </cfRule>
    <cfRule type="expression" dxfId="25" priority="23" stopIfTrue="1">
      <formula>$U$4="Фаинское"</formula>
    </cfRule>
  </conditionalFormatting>
  <conditionalFormatting sqref="AD76">
    <cfRule type="expression" dxfId="24" priority="14">
      <formula>$AC$76=""</formula>
    </cfRule>
    <cfRule type="expression" dxfId="23" priority="22" stopIfTrue="1">
      <formula>$U$4="Фаинское"</formula>
    </cfRule>
  </conditionalFormatting>
  <conditionalFormatting sqref="AA72 AD72">
    <cfRule type="expression" dxfId="22" priority="21">
      <formula>$AC$72=""</formula>
    </cfRule>
  </conditionalFormatting>
  <conditionalFormatting sqref="AA73">
    <cfRule type="expression" dxfId="21" priority="19">
      <formula>$AC$73=""</formula>
    </cfRule>
  </conditionalFormatting>
  <conditionalFormatting sqref="AD75 AA75">
    <cfRule type="expression" dxfId="20" priority="17">
      <formula>$AC$75=""</formula>
    </cfRule>
  </conditionalFormatting>
  <conditionalFormatting sqref="AA76">
    <cfRule type="expression" dxfId="19" priority="15">
      <formula>$AC$76=""</formula>
    </cfRule>
  </conditionalFormatting>
  <conditionalFormatting sqref="AA70">
    <cfRule type="expression" dxfId="18" priority="13">
      <formula>$AC$70=""</formula>
    </cfRule>
  </conditionalFormatting>
  <conditionalFormatting sqref="AD69 AA69">
    <cfRule type="expression" dxfId="17" priority="11">
      <formula>$AC$69=""</formula>
    </cfRule>
  </conditionalFormatting>
  <conditionalFormatting sqref="AA71 AD71">
    <cfRule type="expression" dxfId="16" priority="6">
      <formula>$AC$71=""</formula>
    </cfRule>
  </conditionalFormatting>
  <conditionalFormatting sqref="AA74 AD74">
    <cfRule type="expression" dxfId="15" priority="4">
      <formula>$AC$74=""</formula>
    </cfRule>
  </conditionalFormatting>
  <conditionalFormatting sqref="AA77 AD77">
    <cfRule type="expression" dxfId="14" priority="2">
      <formula>$AC$77=""</formula>
    </cfRule>
  </conditionalFormatting>
  <conditionalFormatting sqref="D11 U11:V11">
    <cfRule type="expression" dxfId="13" priority="197">
      <formula>#REF!=""</formula>
    </cfRule>
  </conditionalFormatting>
  <conditionalFormatting sqref="F44:F63">
    <cfRule type="expression" dxfId="12" priority="220" stopIfTrue="1">
      <formula>#REF!&lt;&gt;""</formula>
    </cfRule>
  </conditionalFormatting>
  <conditionalFormatting sqref="E54">
    <cfRule type="expression" dxfId="11" priority="221" stopIfTrue="1">
      <formula>#REF!&lt;&gt;""</formula>
    </cfRule>
  </conditionalFormatting>
  <conditionalFormatting sqref="E55:E63">
    <cfRule type="expression" dxfId="10" priority="222" stopIfTrue="1">
      <formula>#REF!&lt;&gt;""</formula>
    </cfRule>
  </conditionalFormatting>
  <conditionalFormatting sqref="E60 E63">
    <cfRule type="expression" dxfId="9" priority="223" stopIfTrue="1">
      <formula>#REF!&lt;&gt;""</formula>
    </cfRule>
  </conditionalFormatting>
  <conditionalFormatting sqref="S44:S48">
    <cfRule type="expression" dxfId="8" priority="225" stopIfTrue="1">
      <formula>#REF!&lt;&gt;""</formula>
    </cfRule>
  </conditionalFormatting>
  <conditionalFormatting sqref="S45:S63">
    <cfRule type="expression" dxfId="7" priority="226" stopIfTrue="1">
      <formula>#REF!&lt;&gt;""</formula>
    </cfRule>
  </conditionalFormatting>
  <conditionalFormatting sqref="T55">
    <cfRule type="expression" dxfId="6" priority="227" stopIfTrue="1">
      <formula>#REF!&lt;&gt;""</formula>
    </cfRule>
  </conditionalFormatting>
  <conditionalFormatting sqref="T56:T63">
    <cfRule type="expression" dxfId="5" priority="228" stopIfTrue="1">
      <formula>#REF!&lt;&gt;""</formula>
    </cfRule>
  </conditionalFormatting>
  <conditionalFormatting sqref="S63">
    <cfRule type="expression" dxfId="4" priority="229" stopIfTrue="1">
      <formula>#REF!&lt;&gt;""</formula>
    </cfRule>
  </conditionalFormatting>
  <conditionalFormatting sqref="T63">
    <cfRule type="expression" dxfId="3" priority="230" stopIfTrue="1">
      <formula>#REF!&lt;&gt;""</formula>
    </cfRule>
  </conditionalFormatting>
  <conditionalFormatting sqref="G44:R44">
    <cfRule type="expression" dxfId="2" priority="234" stopIfTrue="1">
      <formula>#REF!&lt;&gt;""</formula>
    </cfRule>
  </conditionalFormatting>
  <conditionalFormatting sqref="W16:W18 W8:W9 W14">
    <cfRule type="expression" dxfId="1" priority="257" stopIfTrue="1">
      <formula>#REF!&gt;#REF!</formula>
    </cfRule>
  </conditionalFormatting>
  <conditionalFormatting sqref="W29">
    <cfRule type="expression" dxfId="0" priority="275" stopIfTrue="1">
      <formula>AND($AC$59="х",#REF!="")</formula>
    </cfRule>
  </conditionalFormatting>
  <dataValidations count="4">
    <dataValidation allowBlank="1" showInputMessage="1" showErrorMessage="1" promptTitle="Поставь русскую &quot;х&quot;" prompt="Для реализации особого случая глушения:_x000a_для скважин с обводненностью более 50% -_x000a_меньшим объемом, но большим удельным весом" sqref="AC59"/>
    <dataValidation type="list" allowBlank="1" showInputMessage="1" showErrorMessage="1" sqref="D15:V15">
      <formula1>"нет,гидрофобизатор,инг.солеотложений,инг.коррозии,г/фобизатор+инг.с/отл,г/фобизатор+инг.с/отл+инг.корр,инг.с/о+инг.корр"</formula1>
    </dataValidation>
    <dataValidation allowBlank="1" showInputMessage="1" showErrorMessage="1" promptTitle="Введи Рбуф" prompt="Только если скважину уже глушили" sqref="U9"/>
    <dataValidation type="list" allowBlank="1" showInputMessage="1" showErrorMessage="1" sqref="Y4:Z4">
      <formula1>$AF$7:$AF$8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44" fitToHeight="2" orientation="portrait" r:id="rId1"/>
  <rowBreaks count="1" manualBreakCount="1">
    <brk id="78" max="29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C155"/>
  <sheetViews>
    <sheetView workbookViewId="0"/>
  </sheetViews>
  <sheetFormatPr defaultRowHeight="13.2"/>
  <sheetData>
    <row r="1" spans="2:3" s="247" customFormat="1">
      <c r="B1" s="247" t="s">
        <v>154</v>
      </c>
      <c r="C1" s="247" t="s">
        <v>275</v>
      </c>
    </row>
    <row r="2" spans="2:3" s="248" customFormat="1">
      <c r="B2" s="248">
        <v>42292.595034722224</v>
      </c>
      <c r="C2" s="248">
        <v>42296.614803240744</v>
      </c>
    </row>
    <row r="3" spans="2:3" s="249" customFormat="1">
      <c r="B3" s="249">
        <v>65024</v>
      </c>
      <c r="C3" s="249">
        <v>73216</v>
      </c>
    </row>
    <row r="4" spans="2:3" s="247" customFormat="1"/>
    <row r="5" spans="2:3" s="247" customFormat="1"/>
    <row r="6" spans="2:3" s="247" customFormat="1"/>
    <row r="7" spans="2:3">
      <c r="B7" s="250" t="s">
        <v>164</v>
      </c>
      <c r="C7" s="250" t="s">
        <v>281</v>
      </c>
    </row>
    <row r="8" spans="2:3">
      <c r="B8" s="250" t="s">
        <v>165</v>
      </c>
      <c r="C8" s="250" t="s">
        <v>282</v>
      </c>
    </row>
    <row r="9" spans="2:3">
      <c r="B9" s="250" t="s">
        <v>166</v>
      </c>
      <c r="C9" s="250" t="s">
        <v>283</v>
      </c>
    </row>
    <row r="10" spans="2:3">
      <c r="B10" s="250" t="s">
        <v>167</v>
      </c>
      <c r="C10" s="250" t="s">
        <v>284</v>
      </c>
    </row>
    <row r="11" spans="2:3">
      <c r="B11" s="250" t="s">
        <v>168</v>
      </c>
      <c r="C11" s="250" t="s">
        <v>285</v>
      </c>
    </row>
    <row r="12" spans="2:3">
      <c r="B12" s="250" t="s">
        <v>155</v>
      </c>
      <c r="C12" s="250" t="s">
        <v>155</v>
      </c>
    </row>
    <row r="13" spans="2:3">
      <c r="B13" s="250" t="s">
        <v>169</v>
      </c>
      <c r="C13" s="250" t="s">
        <v>276</v>
      </c>
    </row>
    <row r="14" spans="2:3">
      <c r="B14" s="250" t="s">
        <v>170</v>
      </c>
      <c r="C14" s="250" t="s">
        <v>277</v>
      </c>
    </row>
    <row r="15" spans="2:3">
      <c r="B15" s="250" t="s">
        <v>171</v>
      </c>
      <c r="C15" s="250" t="s">
        <v>286</v>
      </c>
    </row>
    <row r="16" spans="2:3">
      <c r="B16" s="250" t="s">
        <v>172</v>
      </c>
      <c r="C16" s="250" t="s">
        <v>287</v>
      </c>
    </row>
    <row r="17" spans="2:3">
      <c r="B17" s="250" t="s">
        <v>173</v>
      </c>
      <c r="C17" s="250" t="s">
        <v>278</v>
      </c>
    </row>
    <row r="18" spans="2:3">
      <c r="B18" s="250" t="s">
        <v>174</v>
      </c>
      <c r="C18" s="250" t="s">
        <v>279</v>
      </c>
    </row>
    <row r="19" spans="2:3">
      <c r="B19" s="250" t="s">
        <v>175</v>
      </c>
      <c r="C19" s="250" t="s">
        <v>288</v>
      </c>
    </row>
    <row r="20" spans="2:3">
      <c r="B20" s="250" t="s">
        <v>176</v>
      </c>
      <c r="C20" s="250" t="s">
        <v>289</v>
      </c>
    </row>
    <row r="21" spans="2:3">
      <c r="B21" s="250" t="s">
        <v>177</v>
      </c>
      <c r="C21" s="250" t="s">
        <v>290</v>
      </c>
    </row>
    <row r="22" spans="2:3">
      <c r="B22" s="250" t="s">
        <v>178</v>
      </c>
      <c r="C22" s="250" t="s">
        <v>291</v>
      </c>
    </row>
    <row r="23" spans="2:3">
      <c r="B23" s="250" t="s">
        <v>179</v>
      </c>
      <c r="C23" s="250" t="s">
        <v>292</v>
      </c>
    </row>
    <row r="24" spans="2:3">
      <c r="B24" s="250" t="s">
        <v>156</v>
      </c>
      <c r="C24" s="250" t="s">
        <v>293</v>
      </c>
    </row>
    <row r="25" spans="2:3">
      <c r="B25" s="250" t="s">
        <v>156</v>
      </c>
      <c r="C25" s="250" t="s">
        <v>294</v>
      </c>
    </row>
    <row r="26" spans="2:3">
      <c r="B26" s="250" t="s">
        <v>156</v>
      </c>
      <c r="C26" s="250" t="s">
        <v>295</v>
      </c>
    </row>
    <row r="27" spans="2:3">
      <c r="B27" s="250" t="s">
        <v>156</v>
      </c>
      <c r="C27" s="250" t="s">
        <v>296</v>
      </c>
    </row>
    <row r="28" spans="2:3">
      <c r="B28" s="250" t="s">
        <v>156</v>
      </c>
      <c r="C28" s="250" t="s">
        <v>297</v>
      </c>
    </row>
    <row r="29" spans="2:3">
      <c r="B29" s="250" t="s">
        <v>156</v>
      </c>
      <c r="C29" s="250" t="s">
        <v>298</v>
      </c>
    </row>
    <row r="30" spans="2:3">
      <c r="B30" s="250" t="s">
        <v>156</v>
      </c>
      <c r="C30" s="250" t="s">
        <v>299</v>
      </c>
    </row>
    <row r="31" spans="2:3">
      <c r="B31" s="250" t="s">
        <v>180</v>
      </c>
      <c r="C31" s="250" t="s">
        <v>300</v>
      </c>
    </row>
    <row r="32" spans="2:3">
      <c r="B32" s="250" t="s">
        <v>181</v>
      </c>
      <c r="C32" s="250" t="s">
        <v>301</v>
      </c>
    </row>
    <row r="33" spans="2:3">
      <c r="B33" s="250" t="s">
        <v>182</v>
      </c>
      <c r="C33" s="250" t="s">
        <v>302</v>
      </c>
    </row>
    <row r="34" spans="2:3">
      <c r="B34" s="250" t="s">
        <v>183</v>
      </c>
      <c r="C34" s="250" t="s">
        <v>303</v>
      </c>
    </row>
    <row r="35" spans="2:3">
      <c r="B35" s="250" t="s">
        <v>184</v>
      </c>
      <c r="C35" s="250" t="s">
        <v>304</v>
      </c>
    </row>
    <row r="36" spans="2:3">
      <c r="B36" s="250" t="s">
        <v>185</v>
      </c>
      <c r="C36" s="250" t="s">
        <v>305</v>
      </c>
    </row>
    <row r="37" spans="2:3">
      <c r="B37" s="250" t="s">
        <v>186</v>
      </c>
      <c r="C37" s="250" t="s">
        <v>306</v>
      </c>
    </row>
    <row r="38" spans="2:3">
      <c r="B38" s="250" t="s">
        <v>187</v>
      </c>
      <c r="C38" s="250" t="s">
        <v>307</v>
      </c>
    </row>
    <row r="39" spans="2:3">
      <c r="B39" s="250" t="s">
        <v>188</v>
      </c>
      <c r="C39" s="250" t="s">
        <v>308</v>
      </c>
    </row>
    <row r="40" spans="2:3">
      <c r="B40" s="250" t="s">
        <v>189</v>
      </c>
      <c r="C40" s="250" t="s">
        <v>309</v>
      </c>
    </row>
    <row r="41" spans="2:3">
      <c r="B41" s="250" t="s">
        <v>190</v>
      </c>
      <c r="C41" s="250" t="s">
        <v>310</v>
      </c>
    </row>
    <row r="42" spans="2:3">
      <c r="B42" s="250" t="s">
        <v>191</v>
      </c>
      <c r="C42" s="250" t="s">
        <v>311</v>
      </c>
    </row>
    <row r="43" spans="2:3">
      <c r="B43" s="250" t="s">
        <v>192</v>
      </c>
      <c r="C43" s="250" t="s">
        <v>156</v>
      </c>
    </row>
    <row r="44" spans="2:3">
      <c r="B44" s="250" t="s">
        <v>193</v>
      </c>
      <c r="C44" s="250" t="s">
        <v>156</v>
      </c>
    </row>
    <row r="45" spans="2:3">
      <c r="B45" s="250" t="s">
        <v>194</v>
      </c>
      <c r="C45" s="250" t="s">
        <v>156</v>
      </c>
    </row>
    <row r="46" spans="2:3">
      <c r="B46" s="250" t="s">
        <v>195</v>
      </c>
      <c r="C46" s="250" t="s">
        <v>156</v>
      </c>
    </row>
    <row r="47" spans="2:3">
      <c r="B47" s="250" t="s">
        <v>196</v>
      </c>
      <c r="C47" s="250" t="s">
        <v>312</v>
      </c>
    </row>
    <row r="48" spans="2:3">
      <c r="B48" s="250" t="s">
        <v>197</v>
      </c>
      <c r="C48" s="250" t="s">
        <v>313</v>
      </c>
    </row>
    <row r="49" spans="2:3">
      <c r="B49" s="250" t="s">
        <v>198</v>
      </c>
      <c r="C49" s="250" t="s">
        <v>314</v>
      </c>
    </row>
    <row r="50" spans="2:3">
      <c r="B50" s="250" t="s">
        <v>199</v>
      </c>
      <c r="C50" s="250" t="s">
        <v>315</v>
      </c>
    </row>
    <row r="51" spans="2:3">
      <c r="B51" s="250" t="s">
        <v>200</v>
      </c>
      <c r="C51" s="250" t="s">
        <v>316</v>
      </c>
    </row>
    <row r="52" spans="2:3">
      <c r="B52" s="250" t="s">
        <v>201</v>
      </c>
      <c r="C52" s="250" t="s">
        <v>317</v>
      </c>
    </row>
    <row r="53" spans="2:3">
      <c r="B53" s="250" t="s">
        <v>202</v>
      </c>
      <c r="C53" s="250" t="s">
        <v>318</v>
      </c>
    </row>
    <row r="54" spans="2:3">
      <c r="B54" s="250" t="s">
        <v>203</v>
      </c>
      <c r="C54" s="250" t="s">
        <v>319</v>
      </c>
    </row>
    <row r="55" spans="2:3">
      <c r="B55" s="250" t="s">
        <v>204</v>
      </c>
      <c r="C55" s="250" t="s">
        <v>320</v>
      </c>
    </row>
    <row r="56" spans="2:3">
      <c r="B56" s="250" t="s">
        <v>205</v>
      </c>
      <c r="C56" s="250" t="s">
        <v>321</v>
      </c>
    </row>
    <row r="57" spans="2:3">
      <c r="B57" s="250" t="s">
        <v>206</v>
      </c>
      <c r="C57" s="250" t="s">
        <v>322</v>
      </c>
    </row>
    <row r="58" spans="2:3">
      <c r="B58" s="250" t="s">
        <v>207</v>
      </c>
      <c r="C58" s="250" t="s">
        <v>323</v>
      </c>
    </row>
    <row r="59" spans="2:3">
      <c r="B59" s="250" t="s">
        <v>208</v>
      </c>
      <c r="C59" s="250" t="s">
        <v>324</v>
      </c>
    </row>
    <row r="60" spans="2:3">
      <c r="B60" s="250" t="s">
        <v>209</v>
      </c>
      <c r="C60" s="250" t="s">
        <v>325</v>
      </c>
    </row>
    <row r="61" spans="2:3">
      <c r="B61" s="250" t="s">
        <v>210</v>
      </c>
      <c r="C61" s="250" t="s">
        <v>326</v>
      </c>
    </row>
    <row r="62" spans="2:3">
      <c r="B62" s="250" t="s">
        <v>211</v>
      </c>
      <c r="C62" s="250" t="s">
        <v>327</v>
      </c>
    </row>
    <row r="63" spans="2:3">
      <c r="B63" s="250" t="s">
        <v>212</v>
      </c>
      <c r="C63" s="250" t="s">
        <v>328</v>
      </c>
    </row>
    <row r="64" spans="2:3">
      <c r="B64" s="250" t="s">
        <v>213</v>
      </c>
      <c r="C64" s="250" t="s">
        <v>329</v>
      </c>
    </row>
    <row r="65" spans="2:3">
      <c r="B65" s="250" t="s">
        <v>214</v>
      </c>
      <c r="C65" s="250" t="s">
        <v>330</v>
      </c>
    </row>
    <row r="66" spans="2:3">
      <c r="B66" s="250" t="s">
        <v>215</v>
      </c>
      <c r="C66" s="250" t="s">
        <v>331</v>
      </c>
    </row>
    <row r="67" spans="2:3">
      <c r="B67" s="250" t="s">
        <v>216</v>
      </c>
      <c r="C67" s="250" t="s">
        <v>332</v>
      </c>
    </row>
    <row r="68" spans="2:3">
      <c r="B68" s="250" t="s">
        <v>217</v>
      </c>
      <c r="C68" s="250" t="s">
        <v>333</v>
      </c>
    </row>
    <row r="69" spans="2:3">
      <c r="B69" s="250" t="s">
        <v>218</v>
      </c>
      <c r="C69" s="250" t="s">
        <v>334</v>
      </c>
    </row>
    <row r="70" spans="2:3">
      <c r="B70" s="250" t="s">
        <v>219</v>
      </c>
      <c r="C70" s="250" t="s">
        <v>335</v>
      </c>
    </row>
    <row r="71" spans="2:3">
      <c r="B71" s="250" t="s">
        <v>220</v>
      </c>
      <c r="C71" s="250" t="s">
        <v>336</v>
      </c>
    </row>
    <row r="72" spans="2:3">
      <c r="B72" s="250" t="s">
        <v>221</v>
      </c>
      <c r="C72" s="250" t="s">
        <v>337</v>
      </c>
    </row>
    <row r="73" spans="2:3">
      <c r="B73" s="250" t="s">
        <v>222</v>
      </c>
      <c r="C73" s="250" t="s">
        <v>338</v>
      </c>
    </row>
    <row r="74" spans="2:3">
      <c r="B74" s="250" t="s">
        <v>223</v>
      </c>
      <c r="C74" s="250" t="s">
        <v>339</v>
      </c>
    </row>
    <row r="75" spans="2:3">
      <c r="B75" s="250" t="s">
        <v>224</v>
      </c>
      <c r="C75" s="250" t="s">
        <v>340</v>
      </c>
    </row>
    <row r="76" spans="2:3">
      <c r="B76" s="250" t="s">
        <v>225</v>
      </c>
      <c r="C76" s="250" t="s">
        <v>341</v>
      </c>
    </row>
    <row r="77" spans="2:3">
      <c r="B77" s="250" t="s">
        <v>226</v>
      </c>
      <c r="C77" s="250" t="s">
        <v>342</v>
      </c>
    </row>
    <row r="78" spans="2:3">
      <c r="B78" s="250" t="s">
        <v>227</v>
      </c>
      <c r="C78" s="250" t="s">
        <v>343</v>
      </c>
    </row>
    <row r="79" spans="2:3">
      <c r="B79" s="250" t="s">
        <v>228</v>
      </c>
      <c r="C79" s="250" t="s">
        <v>344</v>
      </c>
    </row>
    <row r="80" spans="2:3">
      <c r="B80" s="250" t="s">
        <v>229</v>
      </c>
      <c r="C80" s="250" t="s">
        <v>345</v>
      </c>
    </row>
    <row r="81" spans="2:3">
      <c r="B81" s="250" t="s">
        <v>230</v>
      </c>
      <c r="C81" s="250" t="s">
        <v>346</v>
      </c>
    </row>
    <row r="82" spans="2:3">
      <c r="B82" s="250" t="s">
        <v>231</v>
      </c>
      <c r="C82" s="250" t="s">
        <v>347</v>
      </c>
    </row>
    <row r="83" spans="2:3">
      <c r="B83" s="250" t="s">
        <v>232</v>
      </c>
      <c r="C83" s="250" t="s">
        <v>348</v>
      </c>
    </row>
    <row r="84" spans="2:3">
      <c r="B84" s="250" t="s">
        <v>233</v>
      </c>
      <c r="C84" s="250" t="s">
        <v>349</v>
      </c>
    </row>
    <row r="85" spans="2:3">
      <c r="B85" s="250" t="s">
        <v>234</v>
      </c>
      <c r="C85" s="250" t="s">
        <v>350</v>
      </c>
    </row>
    <row r="86" spans="2:3">
      <c r="B86" s="250" t="s">
        <v>235</v>
      </c>
      <c r="C86" s="250" t="s">
        <v>351</v>
      </c>
    </row>
    <row r="87" spans="2:3">
      <c r="B87" s="250" t="s">
        <v>236</v>
      </c>
      <c r="C87" s="250" t="s">
        <v>352</v>
      </c>
    </row>
    <row r="88" spans="2:3">
      <c r="B88" s="250" t="s">
        <v>237</v>
      </c>
      <c r="C88" s="250" t="s">
        <v>353</v>
      </c>
    </row>
    <row r="89" spans="2:3">
      <c r="B89" s="250" t="s">
        <v>238</v>
      </c>
      <c r="C89" s="250" t="s">
        <v>354</v>
      </c>
    </row>
    <row r="90" spans="2:3">
      <c r="B90" s="250" t="s">
        <v>239</v>
      </c>
      <c r="C90" s="250" t="s">
        <v>355</v>
      </c>
    </row>
    <row r="91" spans="2:3">
      <c r="B91" s="250" t="s">
        <v>240</v>
      </c>
      <c r="C91" s="250" t="s">
        <v>356</v>
      </c>
    </row>
    <row r="92" spans="2:3">
      <c r="B92" s="250" t="s">
        <v>241</v>
      </c>
      <c r="C92" s="250" t="s">
        <v>357</v>
      </c>
    </row>
    <row r="93" spans="2:3">
      <c r="B93" s="250" t="s">
        <v>242</v>
      </c>
      <c r="C93" s="250" t="s">
        <v>358</v>
      </c>
    </row>
    <row r="94" spans="2:3">
      <c r="B94" s="250" t="s">
        <v>243</v>
      </c>
      <c r="C94" s="250" t="s">
        <v>359</v>
      </c>
    </row>
    <row r="95" spans="2:3">
      <c r="B95" s="250" t="s">
        <v>244</v>
      </c>
      <c r="C95" s="250" t="s">
        <v>360</v>
      </c>
    </row>
    <row r="96" spans="2:3">
      <c r="B96" s="250" t="s">
        <v>245</v>
      </c>
      <c r="C96" s="250" t="s">
        <v>361</v>
      </c>
    </row>
    <row r="97" spans="2:3">
      <c r="B97" s="250" t="s">
        <v>246</v>
      </c>
      <c r="C97" s="250" t="s">
        <v>362</v>
      </c>
    </row>
    <row r="98" spans="2:3">
      <c r="B98" s="250" t="s">
        <v>247</v>
      </c>
      <c r="C98" s="250" t="s">
        <v>363</v>
      </c>
    </row>
    <row r="99" spans="2:3">
      <c r="B99" s="250" t="s">
        <v>248</v>
      </c>
      <c r="C99" s="250" t="s">
        <v>364</v>
      </c>
    </row>
    <row r="100" spans="2:3">
      <c r="B100" s="250" t="s">
        <v>249</v>
      </c>
      <c r="C100" s="250" t="s">
        <v>365</v>
      </c>
    </row>
    <row r="101" spans="2:3">
      <c r="B101" s="250" t="s">
        <v>250</v>
      </c>
      <c r="C101" s="250" t="s">
        <v>366</v>
      </c>
    </row>
    <row r="102" spans="2:3">
      <c r="B102" s="250" t="s">
        <v>251</v>
      </c>
      <c r="C102" s="250" t="s">
        <v>367</v>
      </c>
    </row>
    <row r="103" spans="2:3">
      <c r="B103" s="250" t="s">
        <v>252</v>
      </c>
      <c r="C103" s="250" t="s">
        <v>368</v>
      </c>
    </row>
    <row r="104" spans="2:3">
      <c r="B104" s="250" t="s">
        <v>253</v>
      </c>
      <c r="C104" s="250" t="s">
        <v>369</v>
      </c>
    </row>
    <row r="105" spans="2:3">
      <c r="B105" s="250" t="s">
        <v>254</v>
      </c>
      <c r="C105" s="250" t="s">
        <v>370</v>
      </c>
    </row>
    <row r="106" spans="2:3">
      <c r="B106" s="250" t="s">
        <v>255</v>
      </c>
      <c r="C106" s="250" t="s">
        <v>371</v>
      </c>
    </row>
    <row r="107" spans="2:3">
      <c r="B107" s="250" t="s">
        <v>256</v>
      </c>
      <c r="C107" s="250" t="s">
        <v>372</v>
      </c>
    </row>
    <row r="108" spans="2:3">
      <c r="B108" s="250" t="s">
        <v>257</v>
      </c>
      <c r="C108" s="250" t="s">
        <v>373</v>
      </c>
    </row>
    <row r="109" spans="2:3">
      <c r="B109" s="250" t="s">
        <v>258</v>
      </c>
      <c r="C109" s="250" t="s">
        <v>374</v>
      </c>
    </row>
    <row r="110" spans="2:3">
      <c r="B110" s="250" t="s">
        <v>259</v>
      </c>
      <c r="C110" s="250" t="s">
        <v>375</v>
      </c>
    </row>
    <row r="111" spans="2:3">
      <c r="B111" s="250" t="s">
        <v>260</v>
      </c>
      <c r="C111" s="250" t="s">
        <v>376</v>
      </c>
    </row>
    <row r="112" spans="2:3">
      <c r="B112" s="250" t="s">
        <v>261</v>
      </c>
      <c r="C112" s="250" t="s">
        <v>377</v>
      </c>
    </row>
    <row r="113" spans="2:3">
      <c r="B113" s="250" t="s">
        <v>262</v>
      </c>
      <c r="C113" s="250" t="s">
        <v>378</v>
      </c>
    </row>
    <row r="114" spans="2:3">
      <c r="B114" s="250" t="s">
        <v>263</v>
      </c>
      <c r="C114" s="250" t="s">
        <v>379</v>
      </c>
    </row>
    <row r="115" spans="2:3">
      <c r="B115" s="250" t="s">
        <v>264</v>
      </c>
      <c r="C115" s="250" t="s">
        <v>380</v>
      </c>
    </row>
    <row r="116" spans="2:3">
      <c r="B116" s="250" t="s">
        <v>265</v>
      </c>
      <c r="C116" s="250" t="s">
        <v>381</v>
      </c>
    </row>
    <row r="117" spans="2:3">
      <c r="B117" s="250" t="s">
        <v>156</v>
      </c>
      <c r="C117" s="250" t="s">
        <v>382</v>
      </c>
    </row>
    <row r="118" spans="2:3">
      <c r="B118" s="250" t="s">
        <v>156</v>
      </c>
      <c r="C118" s="250" t="s">
        <v>383</v>
      </c>
    </row>
    <row r="119" spans="2:3">
      <c r="B119" s="250" t="s">
        <v>156</v>
      </c>
      <c r="C119" s="250" t="s">
        <v>384</v>
      </c>
    </row>
    <row r="120" spans="2:3">
      <c r="B120" s="250" t="s">
        <v>156</v>
      </c>
      <c r="C120" s="250" t="s">
        <v>385</v>
      </c>
    </row>
    <row r="121" spans="2:3">
      <c r="B121" s="250" t="s">
        <v>156</v>
      </c>
      <c r="C121" s="250" t="s">
        <v>386</v>
      </c>
    </row>
    <row r="122" spans="2:3">
      <c r="B122" s="250" t="s">
        <v>156</v>
      </c>
      <c r="C122" s="250" t="s">
        <v>387</v>
      </c>
    </row>
    <row r="123" spans="2:3">
      <c r="B123" s="250" t="s">
        <v>266</v>
      </c>
      <c r="C123" s="250" t="s">
        <v>388</v>
      </c>
    </row>
    <row r="124" spans="2:3">
      <c r="B124" s="250" t="s">
        <v>267</v>
      </c>
      <c r="C124" s="250" t="s">
        <v>389</v>
      </c>
    </row>
    <row r="125" spans="2:3">
      <c r="B125" s="250" t="s">
        <v>156</v>
      </c>
      <c r="C125" s="250" t="s">
        <v>390</v>
      </c>
    </row>
    <row r="126" spans="2:3">
      <c r="B126" s="250" t="s">
        <v>156</v>
      </c>
      <c r="C126" s="250" t="s">
        <v>391</v>
      </c>
    </row>
    <row r="127" spans="2:3">
      <c r="B127" s="250" t="s">
        <v>156</v>
      </c>
      <c r="C127" s="250" t="s">
        <v>392</v>
      </c>
    </row>
    <row r="128" spans="2:3">
      <c r="B128" s="250" t="s">
        <v>156</v>
      </c>
      <c r="C128" s="250" t="s">
        <v>393</v>
      </c>
    </row>
    <row r="129" spans="2:3">
      <c r="B129" s="250" t="s">
        <v>156</v>
      </c>
      <c r="C129" s="250" t="s">
        <v>394</v>
      </c>
    </row>
    <row r="130" spans="2:3">
      <c r="B130" s="250" t="s">
        <v>156</v>
      </c>
      <c r="C130" s="250" t="s">
        <v>395</v>
      </c>
    </row>
    <row r="131" spans="2:3">
      <c r="B131" s="250" t="s">
        <v>268</v>
      </c>
      <c r="C131" s="250" t="s">
        <v>396</v>
      </c>
    </row>
    <row r="132" spans="2:3">
      <c r="B132" s="250" t="s">
        <v>269</v>
      </c>
      <c r="C132" s="250" t="s">
        <v>156</v>
      </c>
    </row>
    <row r="133" spans="2:3">
      <c r="B133" s="250" t="s">
        <v>270</v>
      </c>
      <c r="C133" s="250" t="s">
        <v>156</v>
      </c>
    </row>
    <row r="134" spans="2:3">
      <c r="B134" s="250" t="s">
        <v>271</v>
      </c>
      <c r="C134" s="250" t="s">
        <v>156</v>
      </c>
    </row>
    <row r="135" spans="2:3">
      <c r="B135" s="250" t="s">
        <v>272</v>
      </c>
      <c r="C135" s="250" t="s">
        <v>156</v>
      </c>
    </row>
    <row r="136" spans="2:3">
      <c r="B136" s="250" t="s">
        <v>273</v>
      </c>
      <c r="C136" s="250" t="s">
        <v>156</v>
      </c>
    </row>
    <row r="137" spans="2:3">
      <c r="B137" s="250" t="s">
        <v>274</v>
      </c>
      <c r="C137" s="250" t="s">
        <v>156</v>
      </c>
    </row>
    <row r="138" spans="2:3">
      <c r="C138" s="250" t="s">
        <v>156</v>
      </c>
    </row>
    <row r="139" spans="2:3">
      <c r="C139" s="250" t="s">
        <v>397</v>
      </c>
    </row>
    <row r="140" spans="2:3">
      <c r="C140" s="250" t="s">
        <v>156</v>
      </c>
    </row>
    <row r="141" spans="2:3">
      <c r="C141" s="250" t="s">
        <v>156</v>
      </c>
    </row>
    <row r="142" spans="2:3">
      <c r="C142" s="250" t="s">
        <v>156</v>
      </c>
    </row>
    <row r="143" spans="2:3">
      <c r="C143" s="250" t="s">
        <v>156</v>
      </c>
    </row>
    <row r="144" spans="2:3">
      <c r="C144" s="250" t="s">
        <v>156</v>
      </c>
    </row>
    <row r="145" spans="3:3">
      <c r="C145" s="250" t="s">
        <v>156</v>
      </c>
    </row>
    <row r="146" spans="3:3">
      <c r="C146" s="250" t="s">
        <v>156</v>
      </c>
    </row>
    <row r="147" spans="3:3">
      <c r="C147" s="250" t="s">
        <v>398</v>
      </c>
    </row>
    <row r="148" spans="3:3">
      <c r="C148" s="250" t="s">
        <v>399</v>
      </c>
    </row>
    <row r="149" spans="3:3">
      <c r="C149" s="250" t="s">
        <v>400</v>
      </c>
    </row>
    <row r="150" spans="3:3">
      <c r="C150" s="250" t="s">
        <v>401</v>
      </c>
    </row>
    <row r="151" spans="3:3">
      <c r="C151" s="250" t="s">
        <v>402</v>
      </c>
    </row>
    <row r="152" spans="3:3">
      <c r="C152" s="250" t="s">
        <v>403</v>
      </c>
    </row>
    <row r="153" spans="3:3">
      <c r="C153" s="250" t="s">
        <v>404</v>
      </c>
    </row>
    <row r="154" spans="3:3">
      <c r="C154" s="250"/>
    </row>
    <row r="155" spans="3:3">
      <c r="C155" s="2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25"/>
  <sheetViews>
    <sheetView zoomScaleNormal="100" workbookViewId="0">
      <selection activeCell="M9" sqref="M9"/>
    </sheetView>
  </sheetViews>
  <sheetFormatPr defaultRowHeight="13.2"/>
  <cols>
    <col min="7" max="7" width="10.5546875" bestFit="1" customWidth="1"/>
  </cols>
  <sheetData>
    <row r="1" spans="2:5" ht="13.8" thickBot="1"/>
    <row r="2" spans="2:5">
      <c r="B2" s="306" t="s">
        <v>450</v>
      </c>
      <c r="C2" s="307"/>
      <c r="D2" s="308"/>
    </row>
    <row r="3" spans="2:5">
      <c r="B3" s="309"/>
      <c r="C3" s="305"/>
      <c r="D3" s="310"/>
    </row>
    <row r="4" spans="2:5">
      <c r="B4" s="311" t="s">
        <v>445</v>
      </c>
      <c r="C4" s="305">
        <v>62</v>
      </c>
      <c r="D4" s="312" t="s">
        <v>449</v>
      </c>
      <c r="E4" s="298"/>
    </row>
    <row r="5" spans="2:5">
      <c r="B5" s="311" t="s">
        <v>446</v>
      </c>
      <c r="C5" s="305">
        <v>75</v>
      </c>
      <c r="D5" s="312" t="s">
        <v>449</v>
      </c>
      <c r="E5" s="298"/>
    </row>
    <row r="6" spans="2:5">
      <c r="B6" s="311" t="s">
        <v>447</v>
      </c>
      <c r="C6" s="305">
        <v>140</v>
      </c>
      <c r="D6" s="312" t="s">
        <v>449</v>
      </c>
      <c r="E6" s="298"/>
    </row>
    <row r="7" spans="2:5">
      <c r="B7" s="311" t="s">
        <v>448</v>
      </c>
      <c r="C7" s="305">
        <v>150</v>
      </c>
      <c r="D7" s="312" t="s">
        <v>449</v>
      </c>
      <c r="E7" s="298"/>
    </row>
    <row r="8" spans="2:5">
      <c r="B8" s="311" t="s">
        <v>457</v>
      </c>
      <c r="C8" s="305">
        <v>1400</v>
      </c>
      <c r="D8" s="312" t="s">
        <v>1</v>
      </c>
      <c r="E8" s="298"/>
    </row>
    <row r="9" spans="2:5">
      <c r="B9" s="311" t="s">
        <v>458</v>
      </c>
      <c r="C9" s="305">
        <v>1500</v>
      </c>
      <c r="D9" s="312" t="s">
        <v>1</v>
      </c>
      <c r="E9" s="298"/>
    </row>
    <row r="10" spans="2:5">
      <c r="B10" s="309"/>
      <c r="C10" s="305"/>
      <c r="D10" s="310"/>
    </row>
    <row r="11" spans="2:5" ht="13.8" thickBot="1">
      <c r="B11" s="313" t="s">
        <v>451</v>
      </c>
      <c r="C11" s="314">
        <v>0.22600000000000001</v>
      </c>
      <c r="D11" s="315" t="s">
        <v>468</v>
      </c>
      <c r="E11" s="298"/>
    </row>
    <row r="13" spans="2:5">
      <c r="B13" s="298" t="s">
        <v>452</v>
      </c>
    </row>
    <row r="15" spans="2:5">
      <c r="B15" s="298" t="s">
        <v>453</v>
      </c>
    </row>
    <row r="17" spans="2:8">
      <c r="B17" s="298" t="s">
        <v>444</v>
      </c>
      <c r="C17" s="318">
        <f>PI()*(C4/1000)^2/4</f>
        <v>3.0190705400997908E-3</v>
      </c>
      <c r="F17" s="298" t="s">
        <v>456</v>
      </c>
      <c r="G17" s="319">
        <f>C17*C8</f>
        <v>4.2266987561397071</v>
      </c>
      <c r="H17" s="298" t="s">
        <v>4</v>
      </c>
    </row>
    <row r="18" spans="2:8">
      <c r="B18" s="298" t="s">
        <v>454</v>
      </c>
      <c r="C18" s="318">
        <f>PI()*(C6/1000)^2/4</f>
        <v>1.5393804002589988E-2</v>
      </c>
      <c r="F18" s="298" t="s">
        <v>459</v>
      </c>
      <c r="G18" s="319">
        <f>C18*(C9-C8)</f>
        <v>1.5393804002589988</v>
      </c>
      <c r="H18" s="298" t="s">
        <v>4</v>
      </c>
    </row>
    <row r="19" spans="2:8">
      <c r="B19" s="298" t="s">
        <v>455</v>
      </c>
      <c r="C19" s="318">
        <f>PI()*((C6/1000)^2-(C5/1000)^2)/4</f>
        <v>1.0975939333479342E-2</v>
      </c>
      <c r="F19" s="298" t="s">
        <v>460</v>
      </c>
      <c r="G19" s="319">
        <f>C8*C19</f>
        <v>15.36631506687108</v>
      </c>
      <c r="H19" s="298" t="s">
        <v>4</v>
      </c>
    </row>
    <row r="20" spans="2:8">
      <c r="C20" s="318"/>
    </row>
    <row r="21" spans="2:8">
      <c r="C21" s="318"/>
      <c r="F21" s="298" t="s">
        <v>461</v>
      </c>
      <c r="G21" s="319">
        <f>SUM(G17:G19)</f>
        <v>21.132394223269785</v>
      </c>
    </row>
    <row r="22" spans="2:8">
      <c r="C22" s="318"/>
    </row>
    <row r="23" spans="2:8">
      <c r="B23" s="298" t="s">
        <v>462</v>
      </c>
      <c r="C23" s="319">
        <f>G17/C11</f>
        <v>18.702206885573926</v>
      </c>
      <c r="D23" s="298" t="s">
        <v>98</v>
      </c>
      <c r="E23" s="298"/>
      <c r="F23" s="316" t="s">
        <v>463</v>
      </c>
      <c r="G23" s="317">
        <f>C8/C23</f>
        <v>74.857475835105831</v>
      </c>
      <c r="H23" s="316" t="s">
        <v>469</v>
      </c>
    </row>
    <row r="24" spans="2:8">
      <c r="B24" s="298" t="s">
        <v>464</v>
      </c>
      <c r="C24" s="319">
        <f>G18/C11</f>
        <v>6.8114177002610568</v>
      </c>
      <c r="D24" s="298" t="s">
        <v>98</v>
      </c>
      <c r="E24" s="298"/>
      <c r="F24" s="316" t="s">
        <v>465</v>
      </c>
      <c r="G24" s="317">
        <f>(C9-C8)/C24</f>
        <v>14.681231485211569</v>
      </c>
      <c r="H24" s="316" t="s">
        <v>469</v>
      </c>
    </row>
    <row r="25" spans="2:8">
      <c r="B25" s="298" t="s">
        <v>466</v>
      </c>
      <c r="C25" s="319">
        <f>G19/C11</f>
        <v>67.99254454367734</v>
      </c>
      <c r="D25" s="298" t="s">
        <v>98</v>
      </c>
      <c r="E25" s="298"/>
      <c r="F25" s="316" t="s">
        <v>467</v>
      </c>
      <c r="G25" s="317">
        <f>C8/C25</f>
        <v>20.590492816468458</v>
      </c>
      <c r="H25" s="316" t="s">
        <v>469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89</vt:i4>
      </vt:variant>
    </vt:vector>
  </HeadingPairs>
  <TitlesOfParts>
    <vt:vector size="92" baseType="lpstr">
      <vt:lpstr>Расчет глушение</vt:lpstr>
      <vt:lpstr>data</vt:lpstr>
      <vt:lpstr>Лист1</vt:lpstr>
      <vt:lpstr>data!__glushenie__</vt:lpstr>
      <vt:lpstr>BHK</vt:lpstr>
      <vt:lpstr>data!dв</vt:lpstr>
      <vt:lpstr>'Расчет глушение'!dв</vt:lpstr>
      <vt:lpstr>dв3</vt:lpstr>
      <vt:lpstr>data!dвн</vt:lpstr>
      <vt:lpstr>'Расчет глушение'!dвн</vt:lpstr>
      <vt:lpstr>data!dн</vt:lpstr>
      <vt:lpstr>'Расчет глушение'!dн</vt:lpstr>
      <vt:lpstr>dн3</vt:lpstr>
      <vt:lpstr>data!dнар</vt:lpstr>
      <vt:lpstr>'Расчет глушение'!dнар</vt:lpstr>
      <vt:lpstr>data!pж</vt:lpstr>
      <vt:lpstr>data!qqw</vt:lpstr>
      <vt:lpstr>'Расчет глушение'!qqw</vt:lpstr>
      <vt:lpstr>S_dн</vt:lpstr>
      <vt:lpstr>S_dн3</vt:lpstr>
      <vt:lpstr>S_dнар</vt:lpstr>
      <vt:lpstr>S_ЭКв1</vt:lpstr>
      <vt:lpstr>S_ЭКв2</vt:lpstr>
      <vt:lpstr>sdfsdf</vt:lpstr>
      <vt:lpstr>data!SG</vt:lpstr>
      <vt:lpstr>data!VYзадан</vt:lpstr>
      <vt:lpstr>'Расчет глушение'!VYзадан</vt:lpstr>
      <vt:lpstr>data!Vгл</vt:lpstr>
      <vt:lpstr>'Расчет глушение'!Vгл</vt:lpstr>
      <vt:lpstr>data!Vзатр</vt:lpstr>
      <vt:lpstr>'Расчет глушение'!Vзатр</vt:lpstr>
      <vt:lpstr>data!Vзум</vt:lpstr>
      <vt:lpstr>'Расчет глушение'!Vзум</vt:lpstr>
      <vt:lpstr>data!Vнкт</vt:lpstr>
      <vt:lpstr>'Расчет глушение'!Vнкт</vt:lpstr>
      <vt:lpstr>data!Vобщ</vt:lpstr>
      <vt:lpstr>Vшт</vt:lpstr>
      <vt:lpstr>data!Vэк</vt:lpstr>
      <vt:lpstr>'Расчет глушение'!Vэк</vt:lpstr>
      <vt:lpstr>data!Yзадан</vt:lpstr>
      <vt:lpstr>'Расчет глушение'!Yзадан</vt:lpstr>
      <vt:lpstr>data!ВНК</vt:lpstr>
      <vt:lpstr>'Расчет глушение'!ВНК</vt:lpstr>
      <vt:lpstr>data!ВЦ</vt:lpstr>
      <vt:lpstr>'Расчет глушение'!ВЦ</vt:lpstr>
      <vt:lpstr>выа</vt:lpstr>
      <vt:lpstr>data!Запас</vt:lpstr>
      <vt:lpstr>'Расчет глушение'!Запас</vt:lpstr>
      <vt:lpstr>data!зВЦ</vt:lpstr>
      <vt:lpstr>data!ЗЖ</vt:lpstr>
      <vt:lpstr>'Расчет глушение'!ЗЖ</vt:lpstr>
      <vt:lpstr>data!зПЦ</vt:lpstr>
      <vt:lpstr>data!КЦ</vt:lpstr>
      <vt:lpstr>'Расчет глушение'!КЦ</vt:lpstr>
      <vt:lpstr>КЦ_обр_цикл</vt:lpstr>
      <vt:lpstr>data!Кц_обр_цирк</vt:lpstr>
      <vt:lpstr>data!КЦзадан</vt:lpstr>
      <vt:lpstr>'Расчет глушение'!КЦзадан</vt:lpstr>
      <vt:lpstr>Нгол</vt:lpstr>
      <vt:lpstr>Нгэк2</vt:lpstr>
      <vt:lpstr>data!Ни</vt:lpstr>
      <vt:lpstr>'Расчет глушение'!Ни</vt:lpstr>
      <vt:lpstr>data!НКТ1</vt:lpstr>
      <vt:lpstr>'Расчет глушение'!НКТ1</vt:lpstr>
      <vt:lpstr>data!НКТ2</vt:lpstr>
      <vt:lpstr>'Расчет глушение'!НКТ2</vt:lpstr>
      <vt:lpstr>НКТ3</vt:lpstr>
      <vt:lpstr>data!Нсп</vt:lpstr>
      <vt:lpstr>'Расчет глушение'!Нсп</vt:lpstr>
      <vt:lpstr>data!Нт</vt:lpstr>
      <vt:lpstr>'Расчет глушение'!Нт</vt:lpstr>
      <vt:lpstr>data!Область_печати</vt:lpstr>
      <vt:lpstr>data!оКЦ</vt:lpstr>
      <vt:lpstr>'Расчет глушение'!оКЦ</vt:lpstr>
      <vt:lpstr>data!пПЦ</vt:lpstr>
      <vt:lpstr>data!пПЦ_обр_цирк</vt:lpstr>
      <vt:lpstr>data!ПЦ</vt:lpstr>
      <vt:lpstr>'Расчет глушение'!ПЦ</vt:lpstr>
      <vt:lpstr>ПЦ_обр</vt:lpstr>
      <vt:lpstr>data!ПЦ_обр_цирк</vt:lpstr>
      <vt:lpstr>data!расход</vt:lpstr>
      <vt:lpstr>'Расчет глушение'!расход</vt:lpstr>
      <vt:lpstr>data!Рпл</vt:lpstr>
      <vt:lpstr>'Расчет глушение'!Рпл</vt:lpstr>
      <vt:lpstr>data!ТЦ</vt:lpstr>
      <vt:lpstr>'Расчет глушение'!ТЦ</vt:lpstr>
      <vt:lpstr>data!ЧЦ</vt:lpstr>
      <vt:lpstr>'Расчет глушение'!ЧЦ</vt:lpstr>
      <vt:lpstr>data!ЭК</vt:lpstr>
      <vt:lpstr>ЭКв1</vt:lpstr>
      <vt:lpstr>ЭКв2</vt:lpstr>
      <vt:lpstr>ЭКн2</vt:lpstr>
    </vt:vector>
  </TitlesOfParts>
  <Company>ООО "МКРС"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Рубин Н.Д.</dc:creator>
  <cp:lastModifiedBy>Microsoft</cp:lastModifiedBy>
  <cp:lastPrinted>2014-06-04T11:51:17Z</cp:lastPrinted>
  <dcterms:created xsi:type="dcterms:W3CDTF">2007-11-06T05:31:41Z</dcterms:created>
  <dcterms:modified xsi:type="dcterms:W3CDTF">2024-05-19T09:47:39Z</dcterms:modified>
</cp:coreProperties>
</file>